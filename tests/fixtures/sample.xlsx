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rientações e escalas" sheetId="1" state="visible" r:id="rId1"/>
    <sheet name="SEM 1" sheetId="2" state="visible" r:id="rId2"/>
    <sheet name="SEM 2" sheetId="3" state="visible" r:id="rId3"/>
    <sheet name="SEM 3" sheetId="4" state="visible" r:id="rId4"/>
    <sheet name="SEM 4" sheetId="5" state="visible" r:id="rId5"/>
    <sheet name="SEM 5" sheetId="6" state="visible" r:id="rId6"/>
    <sheet name="SEM 6" sheetId="7" state="visible" r:id="rId7"/>
    <sheet name="SEM 7" sheetId="8" state="visible" r:id="rId8"/>
    <sheet name="SEM 8" sheetId="9" state="visible" r:id="rId9"/>
    <sheet name="SEM 9" sheetId="10" state="visible" r:id="rId10"/>
    <sheet name="SEM 10" sheetId="11" state="visible" r:id="rId11"/>
    <sheet name="SEM 11" sheetId="12" state="visible" r:id="rId12"/>
    <sheet name="SEM 12" sheetId="13" state="visible" r:id="rId13"/>
    <sheet name="C.I DIÁRIA" sheetId="14" state="visible" r:id="rId14"/>
    <sheet name="GRÁFICO C.I DIARIA" sheetId="15" state="visible" r:id="rId15"/>
    <sheet name=" C.I SEMANAL" sheetId="16" state="visible" r:id="rId16"/>
    <sheet name="GRÁFICO C.I SEMANAL" sheetId="17" state="visible" r:id="rId17"/>
    <sheet name="C.E DIÁRIA E SEMANAL" sheetId="18" state="visible" r:id="rId18"/>
    <sheet name="GRÁFICO C.E DIÁRIA E SEMANAL" sheetId="19" state="visible" r:id="rId19"/>
    <sheet name="MENU" sheetId="20" state="visible" r:id="rId2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m/d/yyyy"/>
  </numFmts>
  <fonts count="34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00000"/>
      <sz val="20"/>
    </font>
    <font>
      <name val="Calibri"/>
      <charset val="1"/>
      <family val="0"/>
      <b val="1"/>
      <color rgb="FF000000"/>
      <sz val="18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FFFFFF"/>
      <sz val="11"/>
    </font>
    <font>
      <name val="Calibri"/>
      <charset val="1"/>
      <family val="0"/>
      <b val="1"/>
      <color rgb="FF000000"/>
      <sz val="14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8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FF0000"/>
      <sz val="10"/>
    </font>
    <font>
      <name val="Arial"/>
      <family val="2"/>
      <sz val="10"/>
    </font>
    <font>
      <name val="Calibri"/>
      <charset val="1"/>
      <family val="0"/>
      <b val="1"/>
      <color rgb="FFFFFFFF"/>
      <sz val="11"/>
    </font>
    <font>
      <name val="Calibri"/>
      <family val="2"/>
      <b val="1"/>
      <color rgb="FF404040"/>
      <sz val="10"/>
    </font>
    <font>
      <name val="Calibri"/>
      <family val="2"/>
      <b val="1"/>
      <color rgb="FF595959"/>
      <sz val="9"/>
    </font>
    <font>
      <name val="Calibri"/>
      <family val="2"/>
      <color rgb="FF000000"/>
      <sz val="10"/>
    </font>
    <font>
      <name val="Roboto"/>
      <family val="2"/>
      <color rgb="FF000000"/>
      <sz val="10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4"/>
    </font>
    <font>
      <name val="Calibri"/>
      <family val="2"/>
      <color rgb="FF000000"/>
      <sz val="8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theme="1"/>
      <sz val="11"/>
    </font>
    <font>
      <name val="Arial"/>
      <charset val="1"/>
      <family val="0"/>
      <b val="1"/>
      <color rgb="FF000000"/>
      <sz val="12"/>
    </font>
    <font>
      <name val="Calibri"/>
      <charset val="1"/>
      <family val="0"/>
      <b val="1"/>
      <color rgb="FF000000"/>
      <sz val="12"/>
    </font>
    <font>
      <name val="Calibri"/>
      <family val="2"/>
      <b val="1"/>
      <color rgb="FF000000"/>
      <sz val="18"/>
    </font>
    <font>
      <name val="Calibri"/>
      <family val="2"/>
      <b val="1"/>
      <color rgb="FF000000"/>
      <sz val="11"/>
    </font>
    <font>
      <name val="Calibri"/>
      <family val="2"/>
      <b val="1"/>
      <color rgb="FF595959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FFFF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rgb="FFD8D8D8"/>
        <bgColor rgb="FFD9D9D9"/>
      </patternFill>
    </fill>
    <fill>
      <patternFill patternType="solid">
        <fgColor rgb="FF002060"/>
        <bgColor rgb="FF000080"/>
      </patternFill>
    </fill>
  </fills>
  <borders count="42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medium">
        <color rgb="FFFF0000"/>
      </left>
      <right style="thin"/>
      <top style="medium">
        <color rgb="FFFF0000"/>
      </top>
      <bottom style="medium">
        <color rgb="FFFF0000"/>
      </bottom>
      <diagonal/>
    </border>
    <border>
      <left style="thin"/>
      <right style="thin"/>
      <top style="medium">
        <color rgb="FFFF0000"/>
      </top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/>
      <right/>
      <top/>
      <bottom style="thin"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/>
      <top/>
      <bottom style="thin"/>
      <diagonal/>
    </border>
    <border>
      <left style="medium">
        <color rgb="FFFF0000"/>
      </left>
      <right style="thin"/>
      <top/>
      <bottom/>
      <diagonal/>
    </border>
    <border>
      <left style="medium">
        <color rgb="FFFF0000"/>
      </left>
      <right style="thin"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medium">
        <color rgb="FFFF0000"/>
      </top>
      <bottom/>
      <diagonal/>
    </border>
    <border>
      <left/>
      <right/>
      <top style="medium">
        <color rgb="FFFF0000"/>
      </top>
      <bottom style="thin"/>
      <diagonal/>
    </border>
    <border>
      <left/>
      <right style="thin"/>
      <top style="medium">
        <color rgb="FFFF0000"/>
      </top>
      <bottom style="thin"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 wrapText="1"/>
    </xf>
    <xf numFmtId="164" fontId="0" fillId="0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0" fontId="0" fillId="3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165" fontId="6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14" fillId="4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3" fillId="4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23" fillId="4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5" fontId="0" fillId="0" borderId="14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165" fontId="0" fillId="3" borderId="14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 wrapText="1"/>
    </xf>
    <xf numFmtId="0" fontId="0" fillId="0" borderId="3" pivotButton="0" quotePrefix="0" xfId="0"/>
    <xf numFmtId="164" fontId="0" fillId="0" borderId="2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5" pivotButton="0" quotePrefix="0" xfId="0"/>
    <xf numFmtId="165" fontId="6" fillId="0" borderId="2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0" fillId="0" borderId="24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3" pivotButton="0" quotePrefix="0" xfId="0"/>
    <xf numFmtId="0" fontId="9" fillId="0" borderId="4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0" fontId="0" fillId="3" borderId="9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 wrapText="1"/>
    </xf>
    <xf numFmtId="0" fontId="0" fillId="0" borderId="37" pivotButton="0" quotePrefix="0" xfId="0"/>
    <xf numFmtId="165" fontId="6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14" fillId="4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3" fillId="4" borderId="9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23" fillId="4" borderId="11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165" fontId="0" fillId="0" borderId="14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165" fontId="0" fillId="3" borderId="14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B050"/>
      <rgbColor rgb="FFB7B7B7"/>
      <rgbColor rgb="FF8B8B8B"/>
      <rgbColor rgb="FF5B9BD5"/>
      <rgbColor rgb="FF993366"/>
      <rgbColor rgb="FFFFFFCC"/>
      <rgbColor rgb="FFD8D8D8"/>
      <rgbColor rgb="FF660066"/>
      <rgbColor rgb="FFED7D31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9CCFF"/>
      <rgbColor rgb="FFFF99CC"/>
      <rgbColor rgb="FFCC99FF"/>
      <rgbColor rgb="FFFFD965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2060"/>
      <rgbColor rgb="FF339933"/>
      <rgbColor rgb="FF003300"/>
      <rgbColor rgb="FF333300"/>
      <rgbColor rgb="FF993300"/>
      <rgbColor rgb="FF993366"/>
      <rgbColor rgb="FF365B9D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bar"/>
        <grouping val="stacked"/>
        <varyColors val="0"/>
        <ser>
          <idx val="0"/>
          <order val="0"/>
          <tx>
            <strRef>
              <f>'C.I DIÁRIA'!$A$1</f>
              <strCache>
                <ptCount val="1"/>
                <pt idx="0">
                  <v>Sessões</v>
                </pt>
              </strCache>
            </strRef>
          </tx>
          <spPr>
            <a:solidFill>
              <a:srgbClr val="ffffff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1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'C.I DIÁRIA'!$A$2:$A$30</f>
              <numCache>
                <formatCode>General</formatCode>
                <ptCount val="29"/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</numCache>
            </numRef>
          </val>
        </ser>
        <ser>
          <idx val="1"/>
          <order val="1"/>
          <tx>
            <strRef>
              <f>'C.I DIÁRIA'!$B$1</f>
              <strCache>
                <ptCount val="1"/>
                <pt idx="0">
                  <v>Sono</v>
                </pt>
              </strCache>
            </strRef>
          </tx>
          <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DIÁRIA'!$B$2:$B$30</f>
              <numCache>
                <formatCode>General</formatCode>
                <ptCount val="2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2"/>
          <order val="2"/>
          <tx>
            <strRef>
              <f>'C.I DIÁRIA'!$C$1</f>
              <strCache>
                <ptCount val="1"/>
                <pt idx="0">
                  <v>Estresse</v>
                </pt>
              </strCache>
            </strRef>
          </tx>
          <spPr>
            <a:solidFill>
              <a:srgbClr val="a5a5a5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DIÁRIA'!$C$2:$C$30</f>
              <numCache>
                <formatCode>General</formatCode>
                <ptCount val="2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3"/>
          <order val="3"/>
          <tx>
            <strRef>
              <f>'C.I DIÁRIA'!$D$1</f>
              <strCache>
                <ptCount val="1"/>
                <pt idx="0">
                  <v>Fadiga</v>
                </pt>
              </strCache>
            </strRef>
          </tx>
          <spPr>
            <a:solidFill>
              <a:srgbClr val="ffc0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DIÁRIA'!$D$2:$D$30</f>
              <numCache>
                <formatCode>General</formatCode>
                <ptCount val="2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4"/>
          <order val="4"/>
          <tx>
            <strRef>
              <f>'C.I DIÁRIA'!$E$1</f>
              <strCache>
                <ptCount val="1"/>
                <pt idx="0">
                  <v>Dor muscular</v>
                </pt>
              </strCache>
            </strRef>
          </tx>
          <spPr>
            <a:solidFill>
              <a:srgbClr val="5b9bd5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DIÁRIA'!$E$2:$E$30</f>
              <numCache>
                <formatCode>General</formatCode>
                <ptCount val="2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gapWidth val="150"/>
        <overlap val="100"/>
        <axId val="11499140"/>
        <axId val="29841527"/>
      </barChart>
      <catAx>
        <axId val="11499140"/>
        <scaling>
          <orientation val="maxMin"/>
        </scaling>
        <delete val="0"/>
        <axPos val="b"/>
        <title>
          <tx>
            <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29841527"/>
        <crosses val="autoZero"/>
        <auto val="1"/>
        <lblAlgn val="ctr"/>
        <lblOffset val="100"/>
        <noMultiLvlLbl val="0"/>
      </catAx>
      <valAx>
        <axId val="29841527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480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Roboto"/>
                <a:ea typeface="Calibri"/>
              </a:defRPr>
            </a:pPr>
            <a:r>
              <a:t/>
            </a:r>
          </a:p>
        </txPr>
        <crossAx val="11499140"/>
        <crosses val="max"/>
        <crossBetween val="between"/>
      </valAx>
    </plotArea>
    <legend>
      <legendPos val="t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600" b="1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/>
                <a:ea typeface="Calibri"/>
              </a:rPr>
              <a:t>Estado de prontidão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>
              <a:srgbClr val="ffff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DIÁRIA'!$A$3:$A$30</f>
              <numCache>
                <formatCode>General</formatCode>
                <ptCount val="2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</numCache>
            </numRef>
          </val>
        </ser>
        <ser>
          <idx val="1"/>
          <order val="1"/>
          <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DIÁRIA'!$F$3:$F$30</f>
              <numCache>
                <formatCode>General</formatCode>
                <ptCount val="28"/>
              </numCache>
            </numRef>
          </val>
        </ser>
        <ser>
          <idx val="2"/>
          <order val="2"/>
          <spPr>
            <a:solidFill>
              <a:srgbClr val="a5a5a5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'C.I DIÁRIA'!$G$3:$G$30</f>
              <numCache>
                <formatCode>0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gapWidth val="150"/>
        <overlap val="0"/>
        <axId val="45013090"/>
        <axId val="78395374"/>
      </barChart>
      <catAx>
        <axId val="450130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78395374"/>
        <crosses val="autoZero"/>
        <auto val="1"/>
        <lblAlgn val="ctr"/>
        <lblOffset val="100"/>
        <noMultiLvlLbl val="0"/>
      </catAx>
      <valAx>
        <axId val="78395374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480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4501309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1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Carga interna de treino semanal (U.A)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 C.I SEMANAL'!$D$1:$D$2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0000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SEMANAL'!$D$3:$D$6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' C.I SEMANAL'!$G$1:$G$2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c000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SEMANAL'!$G$3:$G$6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2"/>
          <order val="2"/>
          <tx>
            <strRef>
              <f>' C.I SEMANAL'!$J$1:$J$2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ffff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SEMANAL'!$J$3:$J$6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3"/>
          <order val="3"/>
          <tx>
            <strRef>
              <f>' C.I SEMANAL'!$M$1:$M$2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00b05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SEMANAL'!$M$3:$M$6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4"/>
          <tx>
            <strRef>
              <f>' C.I SEMANAL'!$P$1:$P$2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00b0f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SEMANAL'!$P$3:$P$6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5"/>
          <tx>
            <strRef>
              <f>' C.I SEMANAL'!$S$1:$S$2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365b9d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SEMANAL'!$S$3:$S$6</f>
              <numCache>
                <formatCode>General</formatCode>
                <ptCount val="4"/>
                <pt idx="0">
                  <v>329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6"/>
          <tx>
            <strRef>
              <f>' C.I SEMANAL'!$V$1:$V$2</f>
              <strCache>
                <ptCount val="1"/>
                <pt idx="0">
                  <v>Carga treino (U.A)</v>
                </pt>
              </strCache>
            </strRef>
          </tx>
          <spPr>
            <a:solidFill>
              <a:srgbClr val="ffffff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SEMANAL'!$V$3:$V$6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23756169"/>
        <axId val="68779354"/>
      </barChart>
      <catAx>
        <axId val="23756169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16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68779354"/>
        <crosses val="autoZero"/>
        <auto val="1"/>
        <lblAlgn val="ctr"/>
        <lblOffset val="100"/>
        <noMultiLvlLbl val="0"/>
      </catAx>
      <valAx>
        <axId val="68779354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480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14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2375616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200" b="1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Carga interna total, monotonia e Strain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 C.I SEMANAL'!$AH$1</f>
              <strCache>
                <ptCount val="1"/>
                <pt idx="0">
                  <v>CARGA INTERNA TOTAL SEMANA</v>
                </pt>
              </strCache>
            </strRef>
          </tx>
          <spPr>
            <a:solidFill>
              <a:srgbClr val="002060"/>
            </a:solidFill>
            <a:ln w="47520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2060"/>
              </a:solidFill>
              <a:ln>
                <a:prstDash val="solid"/>
              </a:ln>
            </spPr>
          </marker>
          <dLbls>
            <numFmt formatCode="General"/>
            <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 C.I SEMANAL'!$AH$2:$AH$6</f>
              <numCache>
                <formatCode>General</formatCode>
                <ptCount val="5"/>
                <pt idx="1">
                  <v>329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6392301"/>
        <axId val="65111139"/>
      </lineChart>
      <catAx>
        <axId val="56392301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Roboto"/>
                <a:ea typeface="Calibri"/>
              </a:defRPr>
            </a:pPr>
            <a:r>
              <a:t/>
            </a:r>
          </a:p>
        </txPr>
        <crossAx val="65111139"/>
        <crosses val="autoZero"/>
        <auto val="1"/>
        <lblAlgn val="ctr"/>
        <lblOffset val="100"/>
        <noMultiLvlLbl val="0"/>
      </catAx>
      <valAx>
        <axId val="65111139"/>
        <scaling>
          <orientation val="minMax"/>
          <min val="0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480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6392301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200" b="1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/>
                <a:ea typeface="Calibri"/>
              </a:rPr>
              <a:t>Volume total diário e semanal (carga externa)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'C.E DIÁRIA E SEMANAL'!$A$3</f>
              <strCache>
                <ptCount val="1"/>
                <pt idx="0">
                  <v>1ª sem</v>
                </pt>
              </strCache>
            </strRef>
          </tx>
          <spPr>
            <a:solidFill>
              <a:srgbClr val="00206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'C.E DIÁRIA E SEMANAL'!$B$3:$I$3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11380</v>
                </pt>
                <pt idx="6">
                  <v>0</v>
                </pt>
                <pt idx="7">
                  <v>11380</v>
                </pt>
              </numCache>
            </numRef>
          </val>
        </ser>
        <ser>
          <idx val="1"/>
          <order val="1"/>
          <tx>
            <strRef>
              <f>'C.E DIÁRIA E SEMANAL'!$A$4</f>
              <strCache>
                <ptCount val="1"/>
                <pt idx="0">
                  <v>2ª sem</v>
                </pt>
              </strCache>
            </strRef>
          </tx>
          <spPr>
            <a:solidFill>
              <a:srgbClr val="339933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'C.E DIÁRIA E SEMANAL'!$B$4:$I$4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2"/>
          <order val="2"/>
          <tx>
            <strRef>
              <f>'C.E DIÁRIA E SEMANAL'!$A$5</f>
              <strCache>
                <ptCount val="1"/>
                <pt idx="0">
                  <v>3ª sem</v>
                </pt>
              </strCache>
            </strRef>
          </tx>
          <spPr>
            <a:solidFill>
              <a:srgbClr val="ffff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'C.E DIÁRIA E SEMANAL'!$B$5:$I$5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3"/>
          <order val="3"/>
          <tx>
            <strRef>
              <f>'C.E DIÁRIA E SEMANAL'!$A$6</f>
              <strCache>
                <ptCount val="1"/>
                <pt idx="0">
                  <v>4ª sem</v>
                </pt>
              </strCache>
            </strRef>
          </tx>
          <spPr>
            <a:solidFill>
              <a:srgbClr val="ff0000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val>
            <numRef>
              <f>'C.E DIÁRIA E SEMANAL'!$B$6:$I$6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gapWidth val="150"/>
        <overlap val="0"/>
        <axId val="34514346"/>
        <axId val="51415614"/>
      </barChart>
      <catAx>
        <axId val="3451434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1415614"/>
        <crosses val="autoZero"/>
        <auto val="1"/>
        <lblAlgn val="ctr"/>
        <lblOffset val="100"/>
        <noMultiLvlLbl val="0"/>
      </catAx>
      <valAx>
        <axId val="51415614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480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6480">
            <a:solidFill>
              <a:srgbClr val="8b8b8b"/>
            </a:solidFill>
            <a:prstDash val="solid"/>
            <a:round/>
          </a:ln>
        </spPr>
        <txPr>
          <a:bodyPr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451434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100" b="1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Semana 1 (retorno): cargas LEVES, ~50-60%, deixar 3-4 reps na reserva. Foco em readaptar o movimento.</t>
      </text>
    </comment>
    <comment ref="L1" authorId="0" shapeId="0">
      <text>
        <t>======
ID#AAABESIup34
    (2024-01-30 10:41:04)
sono obtido pela escala Hooper</t>
      </text>
    </comment>
    <comment ref="M1" authorId="0" shapeId="0">
      <text>
        <t>======
ID#AAABFXW-nAA
    (2024-01-30 10:41:03)
estresse obtido pela escala Hooper</t>
      </text>
    </comment>
    <comment ref="N1" authorId="0" shapeId="0">
      <text>
        <t>======
ID#AAABESIuqHg
    (2024-01-30 10:41:04)
fadiga obtida pela escala Hooper</t>
      </text>
    </comment>
    <comment ref="O1" authorId="0" shapeId="0">
      <text>
        <t>======
ID#AAABFXW-nYk
    (2024-01-30 10:41:04)
fadiga obtida pela escala Hooper</t>
      </text>
    </comment>
    <comment ref="Q1" authorId="0" shapeId="0">
      <text>
        <t>======
ID#AAABFXW-m9c
    (2024-01-30 10:41:03)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ID#AAABESIup60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ID#AAABESIupsA
    (2024-01-30 10:41:04)
Inserir data do treino</t>
      </text>
    </comment>
    <comment ref="A3" authorId="0" shapeId="0">
      <text>
        <t>======
ID#AAABFXW-m0U
    (2024-01-30 10:41:03)
Inserir abaixo os exercícios utilizados nesse dia</t>
      </text>
    </comment>
    <comment ref="AA3" authorId="0" shapeId="0">
      <text>
        <t>======
ID#AAABFXW-nG8
    (2024-01-30 10:41:04)
percentual de alteração da velocidade de movimento da série 2 versus série 1</t>
      </text>
    </comment>
    <comment ref="AB3" authorId="0" shapeId="0">
      <text>
        <t>======
ID#AAABESIupuc
    (2024-01-30 10:41:04)
percentual de alteração da velocidade de movimento da série 3 versus série 1</t>
      </text>
    </comment>
    <comment ref="AC3" authorId="0" shapeId="0">
      <text>
        <t>======
ID#AAABESIuprY
    (2024-01-30 10:41:04)
percentual de alteração da velocidade de movimento da série 4 versus série 1</t>
      </text>
    </comment>
    <comment ref="AD3" authorId="0" shapeId="0">
      <text>
        <t>======
ID#AAABFXW-nHQ
    (2024-01-30 10:41:04)
percentual de alteração da velocidade de movimento da série 5 versus série 1</t>
      </text>
    </comment>
    <comment ref="AE3" authorId="0" shapeId="0">
      <text>
        <t>======
ID#AAABFXW-nYU
    (2024-01-30 10:41:04)
Inserir abaixo o valor de PSE da sessão obtida 30 minutos após a sessão de treino</t>
      </text>
    </comment>
    <comment ref="AG3" authorId="0" shapeId="0">
      <text>
        <t>======
ID#AAABFXW-m3c
    (2024-01-30 10:41:03)
Volume total de treino da sessão</t>
      </text>
    </comment>
    <comment ref="AJ3" authorId="0" shapeId="0">
      <text>
        <t>======
ID#AAABESIuqAk
    (2024-01-30 10:41:04)
Número de s</t>
      </text>
    </comment>
    <comment ref="B4" authorId="0" shapeId="0">
      <text>
        <t>======
ID#AAABFXW-nAo
    (2024-01-30 10:41:03)
coloque as repetições da série</t>
      </text>
    </comment>
    <comment ref="C4" authorId="0" shapeId="0">
      <text>
        <t>======
ID#AAABFXW-m8E
    (2024-01-30 10:41:03)
coloque o peso usado nessa série</t>
      </text>
    </comment>
    <comment ref="D4" authorId="0" shapeId="0">
      <text>
        <t>======
ID#AAABFXW-nCg
    (2024-01-30 10:41:03)
coloque a velocidade média em segundos usada nessa série (soma da ação concêntrica e excêntrica) obtida pelo metrônomo ou acelerômetro</t>
      </text>
    </comment>
    <comment ref="E4" authorId="0" shapeId="0">
      <text>
        <t>======
ID#AAABFXW-nWk
    (2024-01-30 10:41:04)
VTT
 Série x repetições x peso</t>
      </text>
    </comment>
    <comment ref="G4" authorId="0" shapeId="0">
      <text>
        <t>======
ID#AAABFXW-nJQ
    (2024-01-30 10:41:04)
coloque as repetições da série</t>
      </text>
    </comment>
    <comment ref="H4" authorId="0" shapeId="0">
      <text>
        <t>======
ID#AAABFXW-nWA
    (2024-01-30 10:41:04)
coloque o peso usado nessa série</t>
      </text>
    </comment>
    <comment ref="I4" authorId="0" shapeId="0">
      <text>
        <t>======
ID#AAABESIup5Y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ID#AAABFXW-m6c
    (2024-01-30 10:41:03)
VTT
 Série x repetições x peso</t>
      </text>
    </comment>
    <comment ref="L4" authorId="0" shapeId="0">
      <text>
        <t>======
ID#AAABESIup9A
    (2024-01-30 10:41:04)
coloque as repetições da série</t>
      </text>
    </comment>
    <comment ref="M4" authorId="0" shapeId="0">
      <text>
        <t>======
ID#AAABFXW-nME
    (2024-01-30 10:41:04)
coloque o peso usado nessa série</t>
      </text>
    </comment>
    <comment ref="N4" authorId="0" shapeId="0">
      <text>
        <t>======
ID#AAABESIup3g
    (2024-01-30 10:41:04)
coloque a velocidade média em segundos usada nessa série (soma da ação concêntrica e excêntrica) obtida pelo metrônomo ou acelerômetro</t>
      </text>
    </comment>
    <comment ref="O4" authorId="0" shapeId="0">
      <text>
        <t>======
ID#AAABFXW-nWo
    (2024-01-30 10:41:04)
VTT
 Série x repetições x peso</t>
      </text>
    </comment>
    <comment ref="Q4" authorId="0" shapeId="0">
      <text>
        <t>======
ID#AAABFXW-m44
    (2024-01-30 10:41:03)
coloque as repetições da série</t>
      </text>
    </comment>
    <comment ref="R4" authorId="0" shapeId="0">
      <text>
        <t>======
ID#AAABESIupsc
    (2024-01-30 10:41:04)
coloque o peso usado nessa série</t>
      </text>
    </comment>
    <comment ref="S4" authorId="0" shapeId="0">
      <text>
        <t>======
ID#AAABESIup20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ID#AAABESIuptk
    (2024-01-30 10:41:04)
VTT
 Série x repetições x peso</t>
      </text>
    </comment>
    <comment ref="V4" authorId="0" shapeId="0">
      <text>
        <t>======
ID#AAABFXW-m94
    (2024-01-30 10:41:03)
coloque as repetições da série</t>
      </text>
    </comment>
    <comment ref="W4" authorId="0" shapeId="0">
      <text>
        <t>======
ID#AAABESIup0g
    (2024-01-30 10:41:04)
coloque o peso usado nessa série</t>
      </text>
    </comment>
    <comment ref="X4" authorId="0" shapeId="0">
      <text>
        <t>======
ID#AAABFXW-m-M
    (2024-01-30 10:41:03)
coloque a velocidade média em segundos usada nessa série (soma da ação concêntrica e excêntrica) obtida pelo metrônomo ou acelerômetro</t>
      </text>
    </comment>
    <comment ref="Y4" authorId="0" shapeId="0">
      <text>
        <t>======
ID#AAABFXW-nHw
    (2024-01-30 10:41:04)
VTT
 Série x repetições x peso</t>
      </text>
    </comment>
    <comment ref="AG6" authorId="0" shapeId="0">
      <text>
        <t>======
ID#AAABESIupp8
    (2024-01-30 10:41:04)
Inserir tempo total de sessão em minutos</t>
      </text>
    </comment>
    <comment ref="E17" authorId="0" shapeId="0">
      <text>
        <t>======
ID#AAABESIuprw
    (2024-01-30 10:41:04)
Percepção de recuperação de intervalo entre as séries. Inserir valor na célula ao lado direito</t>
      </text>
    </comment>
    <comment ref="J17" authorId="0" shapeId="0">
      <text>
        <t>======
ID#AAABFXW-mwg
    (2024-01-30 10:41:03)
Percepção de recuperação de intervalo entre as séries. Inserir valor na célula ao lado direito</t>
      </text>
    </comment>
    <comment ref="O17" authorId="0" shapeId="0">
      <text>
        <t>======
ID#AAABFXW-nIk
    (2024-01-30 10:41:04)
Percepção de recuperação de intervalo entre as séries. Inserir valor na célula ao lado direito</t>
      </text>
    </comment>
    <comment ref="T17" authorId="0" shapeId="0">
      <text>
        <t>======
ID#AAABFXW-myA
    (2024-01-30 10:41:03)
Percepção de recuperação de intervalo entre as séries. Inserir valor na célula ao lado direito</t>
      </text>
    </comment>
    <comment ref="AC17" authorId="0" shapeId="0">
      <text>
        <t>======
ID#AAABESIuqD4
    (2024-01-30 10:41:04)
PR média obtida de todas as séries</t>
      </text>
    </comment>
    <comment ref="L19" authorId="0" shapeId="0">
      <text>
        <t>======
ID#AAABFXW-nXU
    (2024-01-30 10:41:04)
sono obtido pela escala Hooper</t>
      </text>
    </comment>
    <comment ref="M19" authorId="0" shapeId="0">
      <text>
        <t>======
ID#AAABFXW-nKU
    (2024-01-30 10:41:04)
estresse obtido pela escala Hooper</t>
      </text>
    </comment>
    <comment ref="N19" authorId="0" shapeId="0">
      <text>
        <t>======
ID#AAABESIupx4
    (2024-01-30 10:41:04)
fadiga obtida pela escala Hooper</t>
      </text>
    </comment>
    <comment ref="O19" authorId="0" shapeId="0">
      <text>
        <t>======
ID#AAABFXW-nIo
    (2024-01-30 10:41:04)
fadiga obtida pela escala Hooper</t>
      </text>
    </comment>
    <comment ref="Q19" authorId="0" shapeId="0">
      <text>
        <t>======
ID#AAABFXW-nSE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ID#AAABESIuqBs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ID#AAABFXW-nEQ
    (2024-01-30 10:41:04)
Inserir data do treino</t>
      </text>
    </comment>
    <comment ref="A21" authorId="0" shapeId="0">
      <text>
        <t>======
ID#AAABESIup4w
    (2024-01-30 10:41:04)
Inserir abaixo os exercícios utilizados nesse dia</t>
      </text>
    </comment>
    <comment ref="AA21" authorId="0" shapeId="0">
      <text>
        <t>======
ID#AAABESIup0E
    (2024-01-30 10:41:04)
percentual de alteração da velocidade de movimento da série 2 versus série 1</t>
      </text>
    </comment>
    <comment ref="AB21" authorId="0" shapeId="0">
      <text>
        <t>======
ID#AAABFXW-m_w
    (2024-01-30 10:41:03)
percentual de alteração da velocidade de movimento da série 3 versus série 1</t>
      </text>
    </comment>
    <comment ref="AC21" authorId="0" shapeId="0">
      <text>
        <t>======
ID#AAABESIuptU
    (2024-01-30 10:41:04)
percentual de alteração da velocidade de movimento da série 4 versus série 1</t>
      </text>
    </comment>
    <comment ref="AD21" authorId="0" shapeId="0">
      <text>
        <t>======
ID#AAABFXW-nJo
    (2024-01-30 10:41:04)
percentual de alteração da velocidade de movimento da série 5 versus série 1</t>
      </text>
    </comment>
    <comment ref="AE21" authorId="0" shapeId="0">
      <text>
        <t>======
ID#AAABFXW-nTg
    (2024-01-30 10:41:04)
Inserir abaixo o valor de PSE da sessão obtida 30 minutos após a sessão de treino</t>
      </text>
    </comment>
    <comment ref="AG21" authorId="0" shapeId="0">
      <text>
        <t>======
ID#AAABFXW-mzw
    (2024-01-30 10:41:03)
Volume total de treino da sessão</t>
      </text>
    </comment>
    <comment ref="AJ21" authorId="0" shapeId="0">
      <text>
        <t>======
ID#AAABFXW-nKw
    (2024-01-30 10:41:04)
Número de s</t>
      </text>
    </comment>
    <comment ref="B22" authorId="0" shapeId="0">
      <text>
        <t>======
ID#AAABESIup-0
    (2024-01-30 10:41:04)
coloque as repetições da série</t>
      </text>
    </comment>
    <comment ref="C22" authorId="0" shapeId="0">
      <text>
        <t>======
ID#AAABFXW-nYA
    (2024-01-30 10:41:04)
coloque o peso usado nessa série</t>
      </text>
    </comment>
    <comment ref="D22" authorId="0" shapeId="0">
      <text>
        <t>======
ID#AAABFXW-m0I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ID#AAABFXW-nA4
    (2024-01-30 10:41:03)
VTT
 Série x repetições x peso</t>
      </text>
    </comment>
    <comment ref="G22" authorId="0" shapeId="0">
      <text>
        <t>======
ID#AAABFXW-nH8
    (2024-01-30 10:41:04)
coloque as repetições da série</t>
      </text>
    </comment>
    <comment ref="H22" authorId="0" shapeId="0">
      <text>
        <t>======
ID#AAABESIup7k
    (2024-01-30 10:41:04)
coloque o peso usado nessa série</t>
      </text>
    </comment>
    <comment ref="I22" authorId="0" shapeId="0">
      <text>
        <t>======
ID#AAABESIup0Y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ID#AAABFXW-mzk
    (2024-01-30 10:41:03)
VTT
 Série x repetições x peso</t>
      </text>
    </comment>
    <comment ref="L22" authorId="0" shapeId="0">
      <text>
        <t>======
ID#AAABESIupuE
    (2024-01-30 10:41:04)
coloque as repetições da série</t>
      </text>
    </comment>
    <comment ref="M22" authorId="0" shapeId="0">
      <text>
        <t>======
ID#AAABFXW-nIQ
    (2024-01-30 10:41:04)
coloque o peso usado nessa série</t>
      </text>
    </comment>
    <comment ref="N22" authorId="0" shapeId="0">
      <text>
        <t>======
ID#AAABFXW-nX8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ID#AAABFXW-nNM
    (2024-01-30 10:41:04)
VTT
 Série x repetições x peso</t>
      </text>
    </comment>
    <comment ref="Q22" authorId="0" shapeId="0">
      <text>
        <t>======
ID#AAABFXW-mx4
    (2024-01-30 10:41:03)
coloque as repetições da série</t>
      </text>
    </comment>
    <comment ref="R22" authorId="0" shapeId="0">
      <text>
        <t>======
ID#AAABFXW-m1M
    (2024-01-30 10:41:03)
coloque o peso usado nessa série</t>
      </text>
    </comment>
    <comment ref="S22" authorId="0" shapeId="0">
      <text>
        <t>======
ID#AAABFXW-m2M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ID#AAABFXW-mz0
    (2024-01-30 10:41:03)
VTT
 Série x repetições x peso</t>
      </text>
    </comment>
    <comment ref="V22" authorId="0" shapeId="0">
      <text>
        <t>======
ID#AAABFXW-m9A
    (2024-01-30 10:41:03)
coloque as repetições da série</t>
      </text>
    </comment>
    <comment ref="W22" authorId="0" shapeId="0">
      <text>
        <t>======
ID#AAABESIup0I
    (2024-01-30 10:41:04)
coloque o peso usado nessa série</t>
      </text>
    </comment>
    <comment ref="X22" authorId="0" shapeId="0">
      <text>
        <t>======
ID#AAABFXW-nBc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ID#AAABESIuqCI
    (2024-01-30 10:41:04)
VTT
 Série x repetições x peso</t>
      </text>
    </comment>
    <comment ref="AG24" authorId="0" shapeId="0">
      <text>
        <t>======
ID#AAABFXW-nSM
    (2024-01-30 10:41:04)
Inserir tempo total de sessão em minutos</t>
      </text>
    </comment>
    <comment ref="E35" authorId="0" shapeId="0">
      <text>
        <t>======
ID#AAABFXW-nA8
    (2024-01-30 10:41:03)
Percepção de recuperação de intervalo entre as séries. Inserir valor na célula ao lado direito</t>
      </text>
    </comment>
    <comment ref="J35" authorId="0" shapeId="0">
      <text>
        <t>======
ID#AAABESIuqIg
    (2024-01-30 10:41:04)
Percepção de recuperação de intervalo entre as séries. Inserir valor na célula ao lado direito</t>
      </text>
    </comment>
    <comment ref="O35" authorId="0" shapeId="0">
      <text>
        <t>======
ID#AAABFXW-nLA
    (2024-01-30 10:41:04)
Percepção de recuperação de intervalo entre as séries. Inserir valor na célula ao lado direito</t>
      </text>
    </comment>
    <comment ref="T35" authorId="0" shapeId="0">
      <text>
        <t>======
ID#AAABFXW-nDo
    (2024-01-30 10:41:04)
Percepção de recuperação de intervalo entre as séries. Inserir valor na célula ao lado direito</t>
      </text>
    </comment>
    <comment ref="AC35" authorId="0" shapeId="0">
      <text>
        <t>======
ID#AAABFXW-m48
    (2024-01-30 10:41:03)
PR média obtida de todas as séries</t>
      </text>
    </comment>
    <comment ref="L37" authorId="0" shapeId="0">
      <text>
        <t>======
ID#AAABESIup7E
    (2024-01-30 10:41:04)
sono obtido pela escala Hooper</t>
      </text>
    </comment>
    <comment ref="M37" authorId="0" shapeId="0">
      <text>
        <t>======
ID#AAABESIupro
    (2024-01-30 10:41:04)
estresse obtido pela escala Hooper</t>
      </text>
    </comment>
    <comment ref="N37" authorId="0" shapeId="0">
      <text>
        <t>======
ID#AAABESIupqA
    (2024-01-30 10:41:04)
fadiga obtida pela escala Hooper</t>
      </text>
    </comment>
    <comment ref="O37" authorId="0" shapeId="0">
      <text>
        <t>======
ID#AAABFXW-nLs
    (2024-01-30 10:41:04)
fadiga obtida pela escala Hooper</t>
      </text>
    </comment>
    <comment ref="Q37" authorId="0" shapeId="0">
      <text>
        <t>======
ID#AAABFXW-nHc
    (2024-01-30 10:41:04)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ID#AAABFXW-nBk
    (2024-01-30 10:41:03)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ID#AAABFXW-m38
    (2024-01-30 10:41:03)
Inserir data do treino</t>
      </text>
    </comment>
    <comment ref="A39" authorId="0" shapeId="0">
      <text>
        <t>======
ID#AAABESIuqGY
    (2024-01-30 10:41:04)
Inserir abaixo os exercícios utilizados nesse dia</t>
      </text>
    </comment>
    <comment ref="AA39" authorId="0" shapeId="0">
      <text>
        <t>======
ID#AAABFXW-m1s
    (2024-01-30 10:41:03)
percentual de alteração da velocidade de movimento da série 2 versus série 1</t>
      </text>
    </comment>
    <comment ref="AB39" authorId="0" shapeId="0">
      <text>
        <t>======
ID#AAABFXW-mxA
    (2024-01-30 10:41:03)
percentual de alteração da velocidade de movimento da série 3 versus série 1</t>
      </text>
    </comment>
    <comment ref="AC39" authorId="0" shapeId="0">
      <text>
        <t>======
ID#AAABFXW-nNc
    (2024-01-30 10:41:04)
percentual de alteração da velocidade de movimento da série 4 versus série 1</t>
      </text>
    </comment>
    <comment ref="AD39" authorId="0" shapeId="0">
      <text>
        <t>======
ID#AAABFXW-nUc
    (2024-01-30 10:41:04)
percentual de alteração da velocidade de movimento da série 5 versus série 1</t>
      </text>
    </comment>
    <comment ref="AE39" authorId="0" shapeId="0">
      <text>
        <t>======
ID#AAABESIuqGk
    (2024-01-30 10:41:04)
Inserir abaixo o valor de PSE da sessão obtida 30 minutos após a sessão de treino</t>
      </text>
    </comment>
    <comment ref="AG39" authorId="0" shapeId="0">
      <text>
        <t>======
ID#AAABFXW-nKQ
    (2024-01-30 10:41:04)
Volume total de treino da sessão</t>
      </text>
    </comment>
    <comment ref="AJ39" authorId="0" shapeId="0">
      <text>
        <t>======
ID#AAABESIuqFw
    (2024-01-30 10:41:04)
Número de s</t>
      </text>
    </comment>
    <comment ref="B40" authorId="0" shapeId="0">
      <text>
        <t>======
ID#AAABFXW-nB8
    (2024-01-30 10:41:03)
coloque as repetições da série</t>
      </text>
    </comment>
    <comment ref="C40" authorId="0" shapeId="0">
      <text>
        <t>======
ID#AAABFXW-mzo
    (2024-01-30 10:41:03)
coloque o peso usado nessa série</t>
      </text>
    </comment>
    <comment ref="D40" authorId="0" shapeId="0">
      <text>
        <t>======
ID#AAABESIuqCE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ID#AAABESIup2o
    (2024-01-30 10:41:04)
VTT
 Série x repetições x peso</t>
      </text>
    </comment>
    <comment ref="G40" authorId="0" shapeId="0">
      <text>
        <t>======
ID#AAABESIuptM
    (2024-01-30 10:41:04)
coloque as repetições da série</t>
      </text>
    </comment>
    <comment ref="H40" authorId="0" shapeId="0">
      <text>
        <t>======
ID#AAABFXW-nE8
    (2024-01-30 10:41:04)
coloque o peso usado nessa série</t>
      </text>
    </comment>
    <comment ref="I40" authorId="0" shapeId="0">
      <text>
        <t>======
ID#AAABESIuqHE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ID#AAABFXW-nRM
    (2024-01-30 10:41:04)
VTT
 Série x repetições x peso</t>
      </text>
    </comment>
    <comment ref="L40" authorId="0" shapeId="0">
      <text>
        <t>======
ID#AAABFXW-m7g
    (2024-01-30 10:41:03)
coloque as repetições da série</t>
      </text>
    </comment>
    <comment ref="M40" authorId="0" shapeId="0">
      <text>
        <t>======
ID#AAABFXW-m5Y
    (2024-01-30 10:41:03)
coloque o peso usado nessa série</t>
      </text>
    </comment>
    <comment ref="N40" authorId="0" shapeId="0">
      <text>
        <t>======
ID#AAABFXW-m6Y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ID#AAABESIuqE0
    (2024-01-30 10:41:04)
VTT
 Série x repetições x peso</t>
      </text>
    </comment>
    <comment ref="Q40" authorId="0" shapeId="0">
      <text>
        <t>======
ID#AAABFXW-nDM
    (2024-01-30 10:41:04)
coloque as repetições da série</t>
      </text>
    </comment>
    <comment ref="R40" authorId="0" shapeId="0">
      <text>
        <t>======
ID#AAABFXW-m80
    (2024-01-30 10:41:03)
coloque o peso usado nessa série</t>
      </text>
    </comment>
    <comment ref="S40" authorId="0" shapeId="0">
      <text>
        <t>======
ID#AAABFXW-nPE
    (2024-01-30 10:41:04)
coloque a velocidade média em segundos usada nessa série (soma da ação concêntrica e excêntrica) obtida pelo metrônomo ou acelerômetro</t>
      </text>
    </comment>
    <comment ref="T40" authorId="0" shapeId="0">
      <text>
        <t>======
ID#AAABESIup8I
    (2024-01-30 10:41:04)
VTT
 Série x repetições x peso</t>
      </text>
    </comment>
    <comment ref="V40" authorId="0" shapeId="0">
      <text>
        <t>======
ID#AAABFXW-m_E
    (2024-01-30 10:41:03)
coloque as repetições da série</t>
      </text>
    </comment>
    <comment ref="W40" authorId="0" shapeId="0">
      <text>
        <t>======
ID#AAABESIuqGU
    (2024-01-30 10:41:04)
coloque o peso usado nessa série</t>
      </text>
    </comment>
    <comment ref="X40" authorId="0" shapeId="0">
      <text>
        <t>======
ID#AAABFXW-nMQ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ID#AAABESIup68
    (2024-01-30 10:41:04)
VTT
 Série x repetições x peso</t>
      </text>
    </comment>
    <comment ref="AG42" authorId="0" shapeId="0">
      <text>
        <t>======
ID#AAABFXW-m4A
    (2024-01-30 10:41:03)
Inserir tempo total de sessão em minutos</t>
      </text>
    </comment>
    <comment ref="E53" authorId="0" shapeId="0">
      <text>
        <t>======
ID#AAABESIupw0
    (2024-01-30 10:41:04)
Percepção de recuperação de intervalo entre as séries. Inserir valor na célula ao lado direito</t>
      </text>
    </comment>
    <comment ref="J53" authorId="0" shapeId="0">
      <text>
        <t>======
ID#AAABFXW-nF8
    (2024-01-30 10:41:04)
Percepção de recuperação de intervalo entre as séries. Inserir valor na célula ao lado direito</t>
      </text>
    </comment>
    <comment ref="O53" authorId="0" shapeId="0">
      <text>
        <t>======
ID#AAABESIup44
    (2024-01-30 10:41:04)
Percepção de recuperação de intervalo entre as séries. Inserir valor na célula ao lado direito</t>
      </text>
    </comment>
    <comment ref="T53" authorId="0" shapeId="0">
      <text>
        <t>======
ID#AAABESIup98
    (2024-01-30 10:41:04)
Percepção de recuperação de intervalo entre as séries. Inserir valor na célula ao lado direito</t>
      </text>
    </comment>
    <comment ref="AC53" authorId="0" shapeId="0">
      <text>
        <t>======
ID#AAABFXW-nQE
    (2024-01-30 10:41:04)
PR média obtida de todas as séries</t>
      </text>
    </comment>
    <comment ref="L55" authorId="0" shapeId="0">
      <text>
        <t>======
ID#AAABESIuprA
    (2024-01-30 10:41:04)
sono obtido pela escala Hooper</t>
      </text>
    </comment>
    <comment ref="M55" authorId="0" shapeId="0">
      <text>
        <t>======
ID#AAABFXW-nMk
    (2024-01-30 10:41:04)
estresse obtido pela escala Hooper</t>
      </text>
    </comment>
    <comment ref="N55" authorId="0" shapeId="0">
      <text>
        <t>======
ID#AAABFXW-nCo
    (2024-01-30 10:41:03)
fadiga obtida pela escala Hooper</t>
      </text>
    </comment>
    <comment ref="O55" authorId="0" shapeId="0">
      <text>
        <t>======
ID#AAABFXW-m9s
    (2024-01-30 10:41:03)
fadiga obtida pela escala Hooper</t>
      </text>
    </comment>
    <comment ref="Q55" authorId="0" shapeId="0">
      <text>
        <t>======
ID#AAABFXW-nNs
    (2024-01-30 10:41:04)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ID#AAABESIupq0
    (2024-01-30 10:41:04)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ID#AAABESIuqCM
    (2024-01-30 10:41:04)
Inserir data do treino</t>
      </text>
    </comment>
    <comment ref="A57" authorId="0" shapeId="0">
      <text>
        <t>======
ID#AAABFXW-nCY
    (2024-01-30 10:41:03)
Inserir abaixo os exercícios utilizados nesse dia</t>
      </text>
    </comment>
    <comment ref="AA57" authorId="0" shapeId="0">
      <text>
        <t>======
ID#AAABFXW-nBo
    (2024-01-30 10:41:03)
percentual de alteração da velocidade de movimento da série 2 versus série 1</t>
      </text>
    </comment>
    <comment ref="AB57" authorId="0" shapeId="0">
      <text>
        <t>======
ID#AAABFXW-nXE
    (2024-01-30 10:41:04)
percentual de alteração da velocidade de movimento da série 3 versus série 1</t>
      </text>
    </comment>
    <comment ref="AC57" authorId="0" shapeId="0">
      <text>
        <t>======
ID#AAABESIuqE4
    (2024-01-30 10:41:04)
percentual de alteração da velocidade de movimento da série 4 versus série 1</t>
      </text>
    </comment>
    <comment ref="AD57" authorId="0" shapeId="0">
      <text>
        <t>======
ID#AAABFXW-nK4
    (2024-01-30 10:41:04)
percentual de alteração da velocidade de movimento da série 5 versus série 1</t>
      </text>
    </comment>
    <comment ref="AE57" authorId="0" shapeId="0">
      <text>
        <t>======
ID#AAABESIuqDU
    (2024-01-30 10:41:04)
Inserir abaixo o valor de PSE da sessão obtida 30 minutos após a sessão de treino</t>
      </text>
    </comment>
    <comment ref="AG57" authorId="0" shapeId="0">
      <text>
        <t>======
ID#AAABESIupzo
    (2024-01-30 10:41:04)
Volume total de treino da sessão</t>
      </text>
    </comment>
    <comment ref="AJ57" authorId="0" shapeId="0">
      <text>
        <t>======
ID#AAABESIupto
    (2024-01-30 10:41:04)
Número de s</t>
      </text>
    </comment>
    <comment ref="B58" authorId="0" shapeId="0">
      <text>
        <t>======
ID#AAABFXW-nKY
    (2024-01-30 10:41:04)
coloque as repetições da série</t>
      </text>
    </comment>
    <comment ref="C58" authorId="0" shapeId="0">
      <text>
        <t>======
ID#AAABESIuptw
    (2024-01-30 10:41:04)
coloque o peso usado nessa série</t>
      </text>
    </comment>
    <comment ref="D58" authorId="0" shapeId="0">
      <text>
        <t>======
ID#AAABFXW-m2g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ID#AAABESIup6Y
    (2024-01-30 10:41:04)
VTT
 Série x repetições x peso</t>
      </text>
    </comment>
    <comment ref="G58" authorId="0" shapeId="0">
      <text>
        <t>======
ID#AAABFXW-nYg
    (2024-01-30 10:41:04)
coloque as repetições da série</t>
      </text>
    </comment>
    <comment ref="H58" authorId="0" shapeId="0">
      <text>
        <t>======
ID#AAABFXW-nPs
    (2024-01-30 10:41:04)
coloque o peso usado nessa série</t>
      </text>
    </comment>
    <comment ref="I58" authorId="0" shapeId="0">
      <text>
        <t>======
ID#AAABFXW-nV4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ID#AAABFXW-nUg
    (2024-01-30 10:41:04)
VTT
 Série x repetições x peso</t>
      </text>
    </comment>
    <comment ref="L58" authorId="0" shapeId="0">
      <text>
        <t>======
ID#AAABFXW-m2E
    (2024-01-30 10:41:03)
coloque as repetições da série</t>
      </text>
    </comment>
    <comment ref="M58" authorId="0" shapeId="0">
      <text>
        <t>======
ID#AAABESIup2s
    (2024-01-30 10:41:04)
coloque o peso usado nessa série</t>
      </text>
    </comment>
    <comment ref="N58" authorId="0" shapeId="0">
      <text>
        <t>======
ID#AAABFXW-mxU
    (2024-01-30 10:41:03)
coloque a velocidade média em segundos usada nessa série (soma da ação concêntrica e excêntrica) obtida pelo metrônomo ou acelerômetro</t>
      </text>
    </comment>
    <comment ref="O58" authorId="0" shapeId="0">
      <text>
        <t>======
ID#AAABESIuqGo
    (2024-01-30 10:41:04)
VTT
 Série x repetições x peso</t>
      </text>
    </comment>
    <comment ref="Q58" authorId="0" shapeId="0">
      <text>
        <t>======
ID#AAABFXW-nRE
    (2024-01-30 10:41:04)
coloque as repetições da série</t>
      </text>
    </comment>
    <comment ref="R58" authorId="0" shapeId="0">
      <text>
        <t>======
ID#AAABFXW-nR0
    (2024-01-30 10:41:04)
coloque o peso usado nessa série</t>
      </text>
    </comment>
    <comment ref="S58" authorId="0" shapeId="0">
      <text>
        <t>======
ID#AAABFXW-nII
    (2024-01-30 10:41:04)
coloque a velocidade média em segundos usada nessa série (soma da ação concêntrica e excêntrica) obtida pelo metrônomo ou acelerômetro</t>
      </text>
    </comment>
    <comment ref="T58" authorId="0" shapeId="0">
      <text>
        <t>======
ID#AAABFXW-mz4
    (2024-01-30 10:41:03)
VTT
 Série x repetições x peso</t>
      </text>
    </comment>
    <comment ref="V58" authorId="0" shapeId="0">
      <text>
        <t>======
ID#AAABESIup5U
    (2024-01-30 10:41:04)
coloque as repetições da série</t>
      </text>
    </comment>
    <comment ref="W58" authorId="0" shapeId="0">
      <text>
        <t>======
ID#AAABESIuprk
    (2024-01-30 10:41:04)
coloque o peso usado nessa série</t>
      </text>
    </comment>
    <comment ref="X58" authorId="0" shapeId="0">
      <text>
        <t>======
ID#AAABFXW-m7w
    (2024-01-30 10:41:03)
coloque a velocidade média em segundos usada nessa série (soma da ação concêntrica e excêntrica) obtida pelo metrônomo ou acelerômetro</t>
      </text>
    </comment>
    <comment ref="Y58" authorId="0" shapeId="0">
      <text>
        <t>======
ID#AAABFXW-nLw
    (2024-01-30 10:41:04)
VTT
 Série x repetições x peso</t>
      </text>
    </comment>
    <comment ref="AG60" authorId="0" shapeId="0">
      <text>
        <t>======
ID#AAABFXW-nJc
    (2024-01-30 10:41:04)
Inserir tempo total de sessão em minutos</t>
      </text>
    </comment>
    <comment ref="E71" authorId="0" shapeId="0">
      <text>
        <t>======
ID#AAABESIup_w
    (2024-01-30 10:41:04)
Percepção de recuperação de intervalo entre as séries. Inserir valor na célula ao lado direito</t>
      </text>
    </comment>
    <comment ref="J71" authorId="0" shapeId="0">
      <text>
        <t>======
ID#AAABESIupsI
    (2024-01-30 10:41:04)
Percepção de recuperação de intervalo entre as séries. Inserir valor na célula ao lado direito</t>
      </text>
    </comment>
    <comment ref="O71" authorId="0" shapeId="0">
      <text>
        <t>======
ID#AAABESIuprU
    (2024-01-30 10:41:04)
Percepção de recuperação de intervalo entre as séries. Inserir valor na célula ao lado direito</t>
      </text>
    </comment>
    <comment ref="T71" authorId="0" shapeId="0">
      <text>
        <t>======
ID#AAABESIup6U
    (2024-01-30 10:41:04)
Percepção de recuperação de intervalo entre as séries. Inserir valor na célula ao lado direito</t>
      </text>
    </comment>
    <comment ref="AC71" authorId="0" shapeId="0">
      <text>
        <t>======
ID#AAABESIup4o
    (2024-01-30 10:41:04)
PR média obtida de todas as séries</t>
      </text>
    </comment>
    <comment ref="L73" authorId="0" shapeId="0">
      <text>
        <t>======
ID#AAABFXW-nOk
    (2024-01-30 10:41:04)
sono obtido pela escala Hooper</t>
      </text>
    </comment>
    <comment ref="M73" authorId="0" shapeId="0">
      <text>
        <t>======
ID#AAABESIup1A
    (2024-01-30 10:41:04)
estresse obtido pela escala Hooper</t>
      </text>
    </comment>
    <comment ref="N73" authorId="0" shapeId="0">
      <text>
        <t>======
ID#AAABFXW-nVA
    (2024-01-30 10:41:04)
fadiga obtida pela escala Hooper</t>
      </text>
    </comment>
    <comment ref="O73" authorId="0" shapeId="0">
      <text>
        <t>======
ID#AAABFXW-nQk
    (2024-01-30 10:41:04)
fadiga obtida pela escala Hooper</t>
      </text>
    </comment>
    <comment ref="Q73" authorId="0" shapeId="0">
      <text>
        <t>======
ID#AAABFXW-nW8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ID#AAABFXW-m6o
    (2024-01-30 10:41:03)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ID#AAABFXW-m-c
    (2024-01-30 10:41:03)
Inserir data do treino</t>
      </text>
    </comment>
    <comment ref="A75" authorId="0" shapeId="0">
      <text>
        <t>======
ID#AAABESIupxQ
    (2024-01-30 10:41:04)
Inserir abaixo os exercícios utilizados nesse dia</t>
      </text>
    </comment>
    <comment ref="AA75" authorId="0" shapeId="0">
      <text>
        <t>======
ID#AAABFXW-nMc
    (2024-01-30 10:41:04)
percentual de alteração da velocidade de movimento da série 2 versus série 1</t>
      </text>
    </comment>
    <comment ref="AB75" authorId="0" shapeId="0">
      <text>
        <t>======
ID#AAABFXW-m7U
    (2024-01-30 10:41:03)
percentual de alteração da velocidade de movimento da série 3 versus série 1</t>
      </text>
    </comment>
    <comment ref="AC75" authorId="0" shapeId="0">
      <text>
        <t>======
ID#AAABFXW-nSA
    (2024-01-30 10:41:04)
percentual de alteração da velocidade de movimento da série 4 versus série 1</t>
      </text>
    </comment>
    <comment ref="AD75" authorId="0" shapeId="0">
      <text>
        <t>======
ID#AAABESIuqCU
    (2024-01-30 10:41:04)
percentual de alteração da velocidade de movimento da série 5 versus série 1</t>
      </text>
    </comment>
    <comment ref="AE75" authorId="0" shapeId="0">
      <text>
        <t>======
ID#AAABESIup-U
    (2024-01-30 10:41:04)
Inserir abaixo o valor de PSE da sessão obtida 30 minutos após a sessão de treino</t>
      </text>
    </comment>
    <comment ref="AG75" authorId="0" shapeId="0">
      <text>
        <t>======
ID#AAABESIup1w
    (2024-01-30 10:41:04)
Volume total de treino da sessão</t>
      </text>
    </comment>
    <comment ref="AJ75" authorId="0" shapeId="0">
      <text>
        <t>======
ID#AAABFXW-nEU
    (2024-01-30 10:41:04)
Número de s</t>
      </text>
    </comment>
    <comment ref="B76" authorId="0" shapeId="0">
      <text>
        <t>======
ID#AAABFXW-nOo
    (2024-01-30 10:41:04)
coloque as repetições da série</t>
      </text>
    </comment>
    <comment ref="C76" authorId="0" shapeId="0">
      <text>
        <t>======
ID#AAABESIup6E
    (2024-01-30 10:41:04)
coloque o peso usado nessa série</t>
      </text>
    </comment>
    <comment ref="D76" authorId="0" shapeId="0">
      <text>
        <t>======
ID#AAABFXW-nPo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ID#AAABESIupyE
    (2024-01-30 10:41:04)
VTT
 Série x repetições x peso</t>
      </text>
    </comment>
    <comment ref="G76" authorId="0" shapeId="0">
      <text>
        <t>======
ID#AAABFXW-m5E
    (2024-01-30 10:41:03)
coloque as repetições da série</t>
      </text>
    </comment>
    <comment ref="H76" authorId="0" shapeId="0">
      <text>
        <t>======
ID#AAABFXW-mx8
    (2024-01-30 10:41:03)
coloque o peso usado nessa série</t>
      </text>
    </comment>
    <comment ref="I76" authorId="0" shapeId="0">
      <text>
        <t>======
ID#AAABESIup-k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ID#AAABESIupsY
    (2024-01-30 10:41:04)
VTT
 Série x repetições x peso</t>
      </text>
    </comment>
    <comment ref="L76" authorId="0" shapeId="0">
      <text>
        <t>======
ID#AAABFXW-m8s
    (2024-01-30 10:41:03)
coloque as repetições da série</t>
      </text>
    </comment>
    <comment ref="M76" authorId="0" shapeId="0">
      <text>
        <t>======
ID#AAABFXW-nUs
    (2024-01-30 10:41:04)
coloque o peso usado nessa série</t>
      </text>
    </comment>
    <comment ref="N76" authorId="0" shapeId="0">
      <text>
        <t>======
ID#AAABFXW-nLU
    (2024-01-30 10:41:04)
coloque a velocidade média em segundos usada nessa série (soma da ação concêntrica e excêntrica) obtida pelo metrônomo ou acelerômetro</t>
      </text>
    </comment>
    <comment ref="O76" authorId="0" shapeId="0">
      <text>
        <t>======
ID#AAABESIupuM
    (2024-01-30 10:41:04)
VTT
 Série x repetições x peso</t>
      </text>
    </comment>
    <comment ref="Q76" authorId="0" shapeId="0">
      <text>
        <t>======
ID#AAABESIuqAY
    (2024-01-30 10:41:04)
coloque as repetições da série</t>
      </text>
    </comment>
    <comment ref="R76" authorId="0" shapeId="0">
      <text>
        <t>======
ID#AAABFXW-m34
    (2024-01-30 10:41:03)
coloque o peso usado nessa série</t>
      </text>
    </comment>
    <comment ref="S76" authorId="0" shapeId="0">
      <text>
        <t>======
ID#AAABESIuqCQ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ID#AAABFXW-nPg
    (2024-01-30 10:41:04)
VTT
 Série x repetições x peso</t>
      </text>
    </comment>
    <comment ref="V76" authorId="0" shapeId="0">
      <text>
        <t>======
ID#AAABFXW-m9U
    (2024-01-30 10:41:03)
coloque as repetições da série</t>
      </text>
    </comment>
    <comment ref="W76" authorId="0" shapeId="0">
      <text>
        <t>======
ID#AAABFXW-nLY
    (2024-01-30 10:41:04)
coloque o peso usado nessa série</t>
      </text>
    </comment>
    <comment ref="X76" authorId="0" shapeId="0">
      <text>
        <t>======
ID#AAABFXW-nOI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ID#AAABESIup3A
    (2024-01-30 10:41:04)
VTT
 Série x repetições x peso</t>
      </text>
    </comment>
    <comment ref="AG78" authorId="0" shapeId="0">
      <text>
        <t>======
ID#AAABFXW-nT0
    (2024-01-30 10:41:04)
Inserir tempo total de sessão em minutos</t>
      </text>
    </comment>
    <comment ref="E89" authorId="0" shapeId="0">
      <text>
        <t>======
ID#AAABFXW-nYc
    (2024-01-30 10:41:04)
Percepção de recuperação de intervalo entre as séries. Inserir valor na célula ao lado direito</t>
      </text>
    </comment>
    <comment ref="J89" authorId="0" shapeId="0">
      <text>
        <t>======
ID#AAABFXW-nPc
    (2024-01-30 10:41:04)
Percepção de recuperação de intervalo entre as séries. Inserir valor na célula ao lado direito</t>
      </text>
    </comment>
    <comment ref="O89" authorId="0" shapeId="0">
      <text>
        <t>======
ID#AAABFXW-nEk
    (2024-01-30 10:41:04)
Percepção de recuperação de intervalo entre as séries. Inserir valor na célula ao lado direito</t>
      </text>
    </comment>
    <comment ref="T89" authorId="0" shapeId="0">
      <text>
        <t>======
ID#AAABFXW-m0A
    (2024-01-30 10:41:03)
Percepção de recuperação de intervalo entre as séries. Inserir valor na célula ao lado direito</t>
      </text>
    </comment>
    <comment ref="AC89" authorId="0" shapeId="0">
      <text>
        <t>======
ID#AAABFXW-nFQ
    (2024-01-30 10:41:04)
PR média obtida de todas as séries</t>
      </text>
    </comment>
    <comment ref="L91" authorId="0" shapeId="0">
      <text>
        <t>======
ID#AAABESIupxo
    (2024-01-30 10:41:04)
sono obtido pela escala Hooper</t>
      </text>
    </comment>
    <comment ref="M91" authorId="0" shapeId="0">
      <text>
        <t>======
ID#AAABFXW-nSI
    (2024-01-30 10:41:04)
estresse obtido pela escala Hooper</t>
      </text>
    </comment>
    <comment ref="N91" authorId="0" shapeId="0">
      <text>
        <t>======
ID#AAABFXW-mz8
    (2024-01-30 10:41:03)
fadiga obtida pela escala Hooper</t>
      </text>
    </comment>
    <comment ref="O91" authorId="0" shapeId="0">
      <text>
        <t>======
ID#AAABESIuptI
    (2024-01-30 10:41:04)
fadiga obtida pela escala Hooper</t>
      </text>
    </comment>
    <comment ref="Q91" authorId="0" shapeId="0">
      <text>
        <t>======
ID#AAABFXW-m_4
    (2024-01-30 10:41:03)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ID#AAABESIuqEI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ID#AAABESIuqAo
    (2024-01-30 10:41:04)
Inserir data do treino</t>
      </text>
    </comment>
    <comment ref="A93" authorId="0" shapeId="0">
      <text>
        <t>======
ID#AAABFXW-m_M
    (2024-01-30 10:41:03)
Inserir abaixo os exercícios utilizados nesse dia</t>
      </text>
    </comment>
    <comment ref="AA93" authorId="0" shapeId="0">
      <text>
        <t>======
ID#AAABESIuqCA
    (2024-01-30 10:41:04)
percentual de alteração da velocidade de movimento da série 2 versus série 1</t>
      </text>
    </comment>
    <comment ref="AB93" authorId="0" shapeId="0">
      <text>
        <t>======
ID#AAABESIuqC8
    (2024-01-30 10:41:04)
percentual de alteração da velocidade de movimento da série 3 versus série 1</t>
      </text>
    </comment>
    <comment ref="AC93" authorId="0" shapeId="0">
      <text>
        <t>======
ID#AAABFXW-mzM
    (2024-01-30 10:41:03)
percentual de alteração da velocidade de movimento da série 4 versus série 1</t>
      </text>
    </comment>
    <comment ref="AD93" authorId="0" shapeId="0">
      <text>
        <t>======
ID#AAABESIupqg
    (2024-01-30 10:41:04)
percentual de alteração da velocidade de movimento da série 5 versus série 1</t>
      </text>
    </comment>
    <comment ref="AE93" authorId="0" shapeId="0">
      <text>
        <t>======
ID#AAABFXW-nLo
    (2024-01-30 10:41:04)
Inserir abaixo o valor de PSE da sessão obtida 30 minutos após a sessão de treino</t>
      </text>
    </comment>
    <comment ref="AG93" authorId="0" shapeId="0">
      <text>
        <t>======
ID#AAABESIupz0
    (2024-01-30 10:41:04)
Volume total de treino da sessão</t>
      </text>
    </comment>
    <comment ref="AJ93" authorId="0" shapeId="0">
      <text>
        <t>======
ID#AAABESIup10
    (2024-01-30 10:41:04)
Número de s</t>
      </text>
    </comment>
    <comment ref="B94" authorId="0" shapeId="0">
      <text>
        <t>======
ID#AAABFXW-m7k
    (2024-01-30 10:41:03)
coloque as repetições da série</t>
      </text>
    </comment>
    <comment ref="C94" authorId="0" shapeId="0">
      <text>
        <t>======
ID#AAABFXW-nCc
    (2024-01-30 10:41:03)
coloque o peso usado nessa série</t>
      </text>
    </comment>
    <comment ref="D94" authorId="0" shapeId="0">
      <text>
        <t>======
ID#AAABFXW-m_U
    (2024-01-30 10:41:03)
coloque a velocidade média em segundos usada nessa série (soma da ação concêntrica e excêntrica) obtida pelo metrônomo ou acelerômetro</t>
      </text>
    </comment>
    <comment ref="E94" authorId="0" shapeId="0">
      <text>
        <t>======
ID#AAABESIuqIE
    (2024-01-30 10:41:04)
VTT
 Série x repetições x peso</t>
      </text>
    </comment>
    <comment ref="G94" authorId="0" shapeId="0">
      <text>
        <t>======
ID#AAABFXW-nCE
    (2024-01-30 10:41:03)
coloque as repetições da série</t>
      </text>
    </comment>
    <comment ref="H94" authorId="0" shapeId="0">
      <text>
        <t>======
ID#AAABESIuqDI
    (2024-01-30 10:41:04)
coloque o peso usado nessa série</t>
      </text>
    </comment>
    <comment ref="I94" authorId="0" shapeId="0">
      <text>
        <t>======
ID#AAABFXW-nLM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ID#AAABFXW-nHI
    (2024-01-30 10:41:04)
VTT
 Série x repetições x peso</t>
      </text>
    </comment>
    <comment ref="L94" authorId="0" shapeId="0">
      <text>
        <t>======
ID#AAABFXW-m8A
    (2024-01-30 10:41:03)
coloque as repetições da série</t>
      </text>
    </comment>
    <comment ref="M94" authorId="0" shapeId="0">
      <text>
        <t>======
ID#AAABESIupuI
    (2024-01-30 10:41:04)
coloque o peso usado nessa série</t>
      </text>
    </comment>
    <comment ref="N94" authorId="0" shapeId="0">
      <text>
        <t>======
ID#AAABESIuqHY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ID#AAABFXW-nYQ
    (2024-01-30 10:41:04)
VTT
 Série x repetições x peso</t>
      </text>
    </comment>
    <comment ref="Q94" authorId="0" shapeId="0">
      <text>
        <t>======
ID#AAABESIuqDw
    (2024-01-30 10:41:04)
coloque as repetições da série</t>
      </text>
    </comment>
    <comment ref="R94" authorId="0" shapeId="0">
      <text>
        <t>======
ID#AAABESIup8Y
    (2024-01-30 10:41:04)
coloque o peso usado nessa série</t>
      </text>
    </comment>
    <comment ref="S94" authorId="0" shapeId="0">
      <text>
        <t>======
ID#AAABESIuqFg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ID#AAABFXW-nCM
    (2024-01-30 10:41:03)
VTT
 Série x repetições x peso</t>
      </text>
    </comment>
    <comment ref="V94" authorId="0" shapeId="0">
      <text>
        <t>======
ID#AAABESIup9Q
    (2024-01-30 10:41:04)
coloque as repetições da série</t>
      </text>
    </comment>
    <comment ref="W94" authorId="0" shapeId="0">
      <text>
        <t>======
ID#AAABESIupu8
    (2024-01-30 10:41:04)
coloque o peso usado nessa série</t>
      </text>
    </comment>
    <comment ref="X94" authorId="0" shapeId="0">
      <text>
        <t>======
ID#AAABFXW-nN0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ID#AAABFXW-mzg
    (2024-01-30 10:41:03)
VTT
 Série x repetições x peso</t>
      </text>
    </comment>
    <comment ref="AG96" authorId="0" shapeId="0">
      <text>
        <t>======
ID#AAABFXW-m30
    (2024-01-30 10:41:03)
Inserir tempo total de sessão em minutos</t>
      </text>
    </comment>
    <comment ref="E107" authorId="0" shapeId="0">
      <text>
        <t>======
ID#AAABFXW-mw8
    (2024-01-30 10:41:03)
Percepção de recuperação de intervalo entre as séries. Inserir valor na célula ao lado direito</t>
      </text>
    </comment>
    <comment ref="J107" authorId="0" shapeId="0">
      <text>
        <t>======
ID#AAABFXW-nDE
    (2024-01-30 10:41:04)
Percepção de recuperação de intervalo entre as séries. Inserir valor na célula ao lado direito</t>
      </text>
    </comment>
    <comment ref="O107" authorId="0" shapeId="0">
      <text>
        <t>======
ID#AAABESIuqB8
    (2024-01-30 10:41:04)
Percepção de recuperação de intervalo entre as séries. Inserir valor na célula ao lado direito</t>
      </text>
    </comment>
    <comment ref="T107" authorId="0" shapeId="0">
      <text>
        <t>======
ID#AAABFXW-nUw
    (2024-01-30 10:41:04)
Percepção de recuperação de intervalo entre as séries. Inserir valor na célula ao lado direito</t>
      </text>
    </comment>
    <comment ref="AC107" authorId="0" shapeId="0">
      <text>
        <t>======
ID#AAABFXW-nOQ
    (2024-01-30 10:41:04)
PR média obtida de todas as séries</t>
      </text>
    </comment>
    <comment ref="L109" authorId="0" shapeId="0">
      <text>
        <t>======
ID#AAABFXW-nCk
    (2024-01-30 10:41:03)
sono obtido pela escala Hooper</t>
      </text>
    </comment>
    <comment ref="M109" authorId="0" shapeId="0">
      <text>
        <t>======
ID#AAABFXW-nIA
    (2024-01-30 10:41:04)
estresse obtido pela escala Hooper</t>
      </text>
    </comment>
    <comment ref="N109" authorId="0" shapeId="0">
      <text>
        <t>======
ID#AAABESIup_s
    (2024-01-30 10:41:04)
fadiga obtida pela escala Hooper</t>
      </text>
    </comment>
    <comment ref="O109" authorId="0" shapeId="0">
      <text>
        <t>======
ID#AAABESIuqB4
    (2024-01-30 10:41:04)
fadiga obtida pela escala Hooper</t>
      </text>
    </comment>
    <comment ref="Q109" authorId="0" shapeId="0">
      <text>
        <t>======
ID#AAABFXW-nAY
    (2024-01-30 10:41:03)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ID#AAABFXW-myY
    (2024-01-30 10:41:03)
Valor em centímetros do Teste de salto vertical obtido pelo aplicativo My Jump</t>
      </text>
    </comment>
    <comment ref="E110" authorId="0" shapeId="0">
      <text>
        <t>======
ID#AAABFXW-m1Y
    (2024-01-30 10:41:03)
Inserir data do treino</t>
      </text>
    </comment>
    <comment ref="A111" authorId="0" shapeId="0">
      <text>
        <t>======
ID#AAABESIup_8
    (2024-01-30 10:41:04)
Inserir abaixo os exercícios utilizados nesse dia</t>
      </text>
    </comment>
    <comment ref="AA111" authorId="0" shapeId="0">
      <text>
        <t>======
ID#AAABESIup5c
    (2024-01-30 10:41:04)
percentual de alteração da velocidade de movimento da série 2 versus série 1</t>
      </text>
    </comment>
    <comment ref="AB111" authorId="0" shapeId="0">
      <text>
        <t>======
ID#AAABFXW-nXo
    (2024-01-30 10:41:04)
percentual de alteração da velocidade de movimento da série 3 versus série 1</t>
      </text>
    </comment>
    <comment ref="AC111" authorId="0" shapeId="0">
      <text>
        <t>======
ID#AAABESIupxw
    (2024-01-30 10:41:04)
percentual de alteração da velocidade de movimento da série 4 versus série 1</t>
      </text>
    </comment>
    <comment ref="AD111" authorId="0" shapeId="0">
      <text>
        <t>======
ID#AAABESIuqBI
    (2024-01-30 10:41:04)
percentual de alteração da velocidade de movimento da série 5 versus série 1</t>
      </text>
    </comment>
    <comment ref="AE111" authorId="0" shapeId="0">
      <text>
        <t>======
ID#AAABFXW-nCQ
    (2024-01-30 10:41:03)
Inserir abaixo o valor de PSE da sessão obtida 30 minutos após a sessão de treino</t>
      </text>
    </comment>
    <comment ref="AG111" authorId="0" shapeId="0">
      <text>
        <t>======
ID#AAABFXW-nKc
    (2024-01-30 10:41:04)
Volume total de treino da sessão</t>
      </text>
    </comment>
    <comment ref="AJ111" authorId="0" shapeId="0">
      <text>
        <t>======
ID#AAABFXW-m_A
    (2024-01-30 10:41:03)
Número de s</t>
      </text>
    </comment>
    <comment ref="B112" authorId="0" shapeId="0">
      <text>
        <t>======
ID#AAABESIuqCs
    (2024-01-30 10:41:04)
coloque as repetições da série</t>
      </text>
    </comment>
    <comment ref="C112" authorId="0" shapeId="0">
      <text>
        <t>======
ID#AAABESIupq4
    (2024-01-30 10:41:04)
coloque o peso usado nessa série</t>
      </text>
    </comment>
    <comment ref="D112" authorId="0" shapeId="0">
      <text>
        <t>======
ID#AAABESIup4A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ID#AAABFXW-m14
    (2024-01-30 10:41:03)
VTT
 Série x repetições x peso</t>
      </text>
    </comment>
    <comment ref="G112" authorId="0" shapeId="0">
      <text>
        <t>======
ID#AAABESIupwI
    (2024-01-30 10:41:04)
coloque as repetições da série</t>
      </text>
    </comment>
    <comment ref="H112" authorId="0" shapeId="0">
      <text>
        <t>======
ID#AAABFXW-nP8
    (2024-01-30 10:41:04)
coloque o peso usado nessa série</t>
      </text>
    </comment>
    <comment ref="I112" authorId="0" shapeId="0">
      <text>
        <t>======
ID#AAABFXW-nD8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ID#AAABESIupvM
    (2024-01-30 10:41:04)
VTT
 Série x repetições x peso</t>
      </text>
    </comment>
    <comment ref="L112" authorId="0" shapeId="0">
      <text>
        <t>======
ID#AAABFXW-nKM
    (2024-01-30 10:41:04)
coloque as repetições da série</t>
      </text>
    </comment>
    <comment ref="M112" authorId="0" shapeId="0">
      <text>
        <t>======
ID#AAABFXW-nSU
    (2024-01-30 10:41:04)
coloque o peso usado nessa série</t>
      </text>
    </comment>
    <comment ref="N112" authorId="0" shapeId="0">
      <text>
        <t>======
ID#AAABESIuqBU
    (2024-01-30 10:41:04)
coloque a velocidade média em segundos usada nessa série (soma da ação concêntrica e excêntrica) obtida pelo metrônomo ou acelerômetro</t>
      </text>
    </comment>
    <comment ref="O112" authorId="0" shapeId="0">
      <text>
        <t>======
ID#AAABFXW-nNE
    (2024-01-30 10:41:04)
VTT
 Série x repetições x peso</t>
      </text>
    </comment>
    <comment ref="Q112" authorId="0" shapeId="0">
      <text>
        <t>======
ID#AAABFXW-nWU
    (2024-01-30 10:41:04)
coloque as repetições da série</t>
      </text>
    </comment>
    <comment ref="R112" authorId="0" shapeId="0">
      <text>
        <t>======
ID#AAABESIuqF0
    (2024-01-30 10:41:04)
coloque o peso usado nessa série</t>
      </text>
    </comment>
    <comment ref="S112" authorId="0" shapeId="0">
      <text>
        <t>======
ID#AAABFXW-nSY
    (2024-01-30 10:41:04)
coloque a velocidade média em segundos usada nessa série (soma da ação concêntrica e excêntrica) obtida pelo metrônomo ou acelerômetro</t>
      </text>
    </comment>
    <comment ref="T112" authorId="0" shapeId="0">
      <text>
        <t>======
ID#AAABESIupxE
    (2024-01-30 10:41:04)
VTT
 Série x repetições x peso</t>
      </text>
    </comment>
    <comment ref="V112" authorId="0" shapeId="0">
      <text>
        <t>======
ID#AAABESIup2w
    (2024-01-30 10:41:04)
coloque as repetições da série</t>
      </text>
    </comment>
    <comment ref="W112" authorId="0" shapeId="0">
      <text>
        <t>======
ID#AAABFXW-nH0
    (2024-01-30 10:41:04)
coloque o peso usado nessa série</t>
      </text>
    </comment>
    <comment ref="X112" authorId="0" shapeId="0">
      <text>
        <t>======
ID#AAABESIups0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ID#AAABFXW-nMU
    (2024-01-30 10:41:04)
VTT
 Série x repetições x peso</t>
      </text>
    </comment>
    <comment ref="AG114" authorId="0" shapeId="0">
      <text>
        <t>======
ID#AAABESIuqBw
    (2024-01-30 10:41:04)
Inserir tempo total de sessão em minutos</t>
      </text>
    </comment>
    <comment ref="E125" authorId="0" shapeId="0">
      <text>
        <t>======
ID#AAABFXW-m3o
    (2024-01-30 10:41:03)
Percepção de recuperação de intervalo entre as séries. Inserir valor na célula ao lado direito</t>
      </text>
    </comment>
    <comment ref="J125" authorId="0" shapeId="0">
      <text>
        <t>======
ID#AAABESIuqIc
    (2024-01-30 10:41:04)
Percepção de recuperação de intervalo entre as séries. Inserir valor na célula ao lado direito</t>
      </text>
    </comment>
    <comment ref="O125" authorId="0" shapeId="0">
      <text>
        <t>======
ID#AAABESIuqGs
    (2024-01-30 10:41:04)
Percepção de recuperação de intervalo entre as séries. Inserir valor na célula ao lado direito</t>
      </text>
    </comment>
    <comment ref="T125" authorId="0" shapeId="0">
      <text>
        <t>======
ID#AAABFXW-nO8
    (2024-01-30 10:41:04)
Percepção de recuperação de intervalo entre as séries. Inserir valor na célula ao lado direito</t>
      </text>
    </comment>
    <comment ref="AC125" authorId="0" shapeId="0">
      <text>
        <t>======
ID#AAABESIup_A
    (2024-01-30 10:41:04)
PR média obtida de todas as séries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Semana 2: ~65-70%, começar a sentir o músculo. 2-3 reps na reserva.</t>
      </text>
    </comment>
    <comment ref="L1" authorId="0" shapeId="0">
      <text>
        <t>======
ID#AAABESIupzs
    (2024-01-30 10:41:04)
sono obtido pela escala Hooper</t>
      </text>
    </comment>
    <comment ref="M1" authorId="0" shapeId="0">
      <text>
        <t>======
ID#AAABESIuqHM
    (2024-01-30 10:41:04)
estresse obtido pela escala Hooper</t>
      </text>
    </comment>
    <comment ref="N1" authorId="0" shapeId="0">
      <text>
        <t>======
ID#AAABESIuqBE
    (2024-01-30 10:41:04)
fadiga obtida pela escala Hooper</t>
      </text>
    </comment>
    <comment ref="O1" authorId="0" shapeId="0">
      <text>
        <t>======
ID#AAABESIupyo
    (2024-01-30 10:41:04)
fadiga obtida pela escala Hooper</t>
      </text>
    </comment>
    <comment ref="Q1" authorId="0" shapeId="0">
      <text>
        <t>======
ID#AAABESIuqBA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ID#AAABESIupqw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ID#AAABFXW-m8U
    (2024-01-30 10:41:03)
Inserir data do treino</t>
      </text>
    </comment>
    <comment ref="A3" authorId="0" shapeId="0">
      <text>
        <t>======
ID#AAABFXW-m2k
    (2024-01-30 10:41:03)
Inserir abaixo os exercícios utilizados nesse dia</t>
      </text>
    </comment>
    <comment ref="AA3" authorId="0" shapeId="0">
      <text>
        <t>======
ID#AAABESIup1o
    (2024-01-30 10:41:04)
percentual de alteração da velocidade de movimento da série 2 versus série 1</t>
      </text>
    </comment>
    <comment ref="AB3" authorId="0" shapeId="0">
      <text>
        <t>======
ID#AAABFXW-m7M
    (2024-01-30 10:41:03)
percentual de alteração da velocidade de movimento da série 3 versus série 1</t>
      </text>
    </comment>
    <comment ref="AC3" authorId="0" shapeId="0">
      <text>
        <t>======
ID#AAABFXW-m0c
    (2024-01-30 10:41:03)
percentual de alteração da velocidade de movimento da série 4 versus série 1</t>
      </text>
    </comment>
    <comment ref="AD3" authorId="0" shapeId="0">
      <text>
        <t>======
ID#AAABESIuqEc
    (2024-01-30 10:41:04)
percentual de alteração da velocidade de movimento da série 5 versus série 1</t>
      </text>
    </comment>
    <comment ref="AE3" authorId="0" shapeId="0">
      <text>
        <t>======
ID#AAABFXW-myE
    (2024-01-30 10:41:03)
Inserir abaixo o valor de PSE da sessão obtida 30 minutos após a sessão de treino</t>
      </text>
    </comment>
    <comment ref="AG3" authorId="0" shapeId="0">
      <text>
        <t>======
ID#AAABFXW-nF0
    (2024-01-30 10:41:04)
Volume total de treino da sessão</t>
      </text>
    </comment>
    <comment ref="AJ3" authorId="0" shapeId="0">
      <text>
        <t>======
ID#AAABFXW-nGw
    (2024-01-30 10:41:04)
Número de s</t>
      </text>
    </comment>
    <comment ref="B4" authorId="0" shapeId="0">
      <text>
        <t>======
ID#AAABFXW-nYY
    (2024-01-30 10:41:04)
coloque as repetições da série</t>
      </text>
    </comment>
    <comment ref="C4" authorId="0" shapeId="0">
      <text>
        <t>======
ID#AAABESIuptA
    (2024-01-30 10:41:04)
coloque o peso usado nessa série</t>
      </text>
    </comment>
    <comment ref="D4" authorId="0" shapeId="0">
      <text>
        <t>======
ID#AAABFXW-nVs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ID#AAABFXW-nSs
    (2024-01-30 10:41:04)
VTT
 Série x repetições x peso</t>
      </text>
    </comment>
    <comment ref="G4" authorId="0" shapeId="0">
      <text>
        <t>======
ID#AAABESIup8g
    (2024-01-30 10:41:04)
coloque as repetições da série</t>
      </text>
    </comment>
    <comment ref="H4" authorId="0" shapeId="0">
      <text>
        <t>======
ID#AAABFXW-nOg
    (2024-01-30 10:41:04)
coloque o peso usado nessa série</t>
      </text>
    </comment>
    <comment ref="I4" authorId="0" shapeId="0">
      <text>
        <t>======
ID#AAABFXW-nEs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ID#AAABESIuqD8
    (2024-01-30 10:41:04)
VTT
 Série x repetições x peso</t>
      </text>
    </comment>
    <comment ref="L4" authorId="0" shapeId="0">
      <text>
        <t>======
ID#AAABESIup3U
    (2024-01-30 10:41:04)
coloque as repetições da série</t>
      </text>
    </comment>
    <comment ref="M4" authorId="0" shapeId="0">
      <text>
        <t>======
ID#AAABFXW-nBU
    (2024-01-30 10:41:03)
coloque o peso usado nessa série</t>
      </text>
    </comment>
    <comment ref="N4" authorId="0" shapeId="0">
      <text>
        <t>======
ID#AAABESIup1c
    (2024-01-30 10:41:04)
coloque a velocidade média em segundos usada nessa série (soma da ação concêntrica e excêntrica) obtida pelo metrônomo ou acelerômetro</t>
      </text>
    </comment>
    <comment ref="O4" authorId="0" shapeId="0">
      <text>
        <t>======
ID#AAABESIupu4
    (2024-01-30 10:41:04)
VTT
 Série x repetições x peso</t>
      </text>
    </comment>
    <comment ref="Q4" authorId="0" shapeId="0">
      <text>
        <t>======
ID#AAABFXW-nEA
    (2024-01-30 10:41:04)
coloque as repetições da série</t>
      </text>
    </comment>
    <comment ref="R4" authorId="0" shapeId="0">
      <text>
        <t>======
ID#AAABFXW-nOM
    (2024-01-30 10:41:04)
coloque o peso usado nessa série</t>
      </text>
    </comment>
    <comment ref="S4" authorId="0" shapeId="0">
      <text>
        <t>======
ID#AAABFXW-nJ8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ID#AAABFXW-m50
    (2024-01-30 10:41:03)
VTT
 Série x repetições x peso</t>
      </text>
    </comment>
    <comment ref="V4" authorId="0" shapeId="0">
      <text>
        <t>======
ID#AAABFXW-nBw
    (2024-01-30 10:41:03)
coloque as repetições da série</t>
      </text>
    </comment>
    <comment ref="W4" authorId="0" shapeId="0">
      <text>
        <t>======
ID#AAABESIuqHs
    (2024-01-30 10:41:04)
coloque o peso usado nessa série</t>
      </text>
    </comment>
    <comment ref="X4" authorId="0" shapeId="0">
      <text>
        <t>======
ID#AAABESIupwQ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ID#AAABESIup_4
    (2024-01-30 10:41:04)
VTT
 Série x repetições x peso</t>
      </text>
    </comment>
    <comment ref="AG6" authorId="0" shapeId="0">
      <text>
        <t>======
ID#AAABFXW-nUQ
    (2024-01-30 10:41:04)
Inserir tempo total de sessão em minutos</t>
      </text>
    </comment>
    <comment ref="E17" authorId="0" shapeId="0">
      <text>
        <t>======
ID#AAABESIup5o
    (2024-01-30 10:41:04)
Percepção de recuperação de intervalo entre as séries. Inserir valor na célula ao lado direito</t>
      </text>
    </comment>
    <comment ref="J17" authorId="0" shapeId="0">
      <text>
        <t>======
ID#AAABFXW-m8c
    (2024-01-30 10:41:03)
Percepção de recuperação de intervalo entre as séries. Inserir valor na célula ao lado direito</t>
      </text>
    </comment>
    <comment ref="O17" authorId="0" shapeId="0">
      <text>
        <t>======
ID#AAABESIupx8
    (2024-01-30 10:41:04)
Percepção de recuperação de intervalo entre as séries. Inserir valor na célula ao lado direito</t>
      </text>
    </comment>
    <comment ref="T17" authorId="0" shapeId="0">
      <text>
        <t>======
ID#AAABFXW-m0Y
    (2024-01-30 10:41:03)
Percepção de recuperação de intervalo entre as séries. Inserir valor na célula ao lado direito</t>
      </text>
    </comment>
    <comment ref="AC17" authorId="0" shapeId="0">
      <text>
        <t>======
ID#AAABESIup9o
    (2024-01-30 10:41:04)
PR média obtida de todas as séries</t>
      </text>
    </comment>
    <comment ref="L19" authorId="0" shapeId="0">
      <text>
        <t>======
ID#AAABESIup3Y
    (2024-01-30 10:41:04)
sono obtido pela escala Hooper</t>
      </text>
    </comment>
    <comment ref="M19" authorId="0" shapeId="0">
      <text>
        <t>======
ID#AAABFXW-nXs
    (2024-01-30 10:41:04)
estresse obtido pela escala Hooper</t>
      </text>
    </comment>
    <comment ref="N19" authorId="0" shapeId="0">
      <text>
        <t>======
ID#AAABFXW-m84
    (2024-01-30 10:41:03)
fadiga obtida pela escala Hooper</t>
      </text>
    </comment>
    <comment ref="O19" authorId="0" shapeId="0">
      <text>
        <t>======
ID#AAABFXW-nWQ
    (2024-01-30 10:41:04)
fadiga obtida pela escala Hooper</t>
      </text>
    </comment>
    <comment ref="Q19" authorId="0" shapeId="0">
      <text>
        <t>======
ID#AAABFXW-nL4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ID#AAABFXW-m7I
    (2024-01-30 10:41:03)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ID#AAABESIup6w
    (2024-01-30 10:41:04)
Inserir data do treino</t>
      </text>
    </comment>
    <comment ref="A21" authorId="0" shapeId="0">
      <text>
        <t>======
ID#AAABESIup_0
    (2024-01-30 10:41:04)
Inserir abaixo os exercícios utilizados nesse dia</t>
      </text>
    </comment>
    <comment ref="AA21" authorId="0" shapeId="0">
      <text>
        <t>======
ID#AAABESIup9I
    (2024-01-30 10:41:04)
percentual de alteração da velocidade de movimento da série 2 versus série 1</t>
      </text>
    </comment>
    <comment ref="AB21" authorId="0" shapeId="0">
      <text>
        <t>======
ID#AAABFXW-mzc
    (2024-01-30 10:41:03)
percentual de alteração da velocidade de movimento da série 3 versus série 1</t>
      </text>
    </comment>
    <comment ref="AC21" authorId="0" shapeId="0">
      <text>
        <t>======
ID#AAABFXW-m0o
    (2024-01-30 10:41:03)
percentual de alteração da velocidade de movimento da série 4 versus série 1</t>
      </text>
    </comment>
    <comment ref="AD21" authorId="0" shapeId="0">
      <text>
        <t>======
ID#AAABFXW-mwc
    (2024-01-30 10:41:03)
percentual de alteração da velocidade de movimento da série 5 versus série 1</t>
      </text>
    </comment>
    <comment ref="AE21" authorId="0" shapeId="0">
      <text>
        <t>======
ID#AAABFXW-m5U
    (2024-01-30 10:41:03)
Inserir abaixo o valor de PSE da sessão obtida 30 minutos após a sessão de treino</t>
      </text>
    </comment>
    <comment ref="AG21" authorId="0" shapeId="0">
      <text>
        <t>======
ID#AAABFXW-m7E
    (2024-01-30 10:41:03)
Volume total de treino da sessão</t>
      </text>
    </comment>
    <comment ref="AJ21" authorId="0" shapeId="0">
      <text>
        <t>======
ID#AAABFXW-m2Q
    (2024-01-30 10:41:03)
Número de s</t>
      </text>
    </comment>
    <comment ref="B22" authorId="0" shapeId="0">
      <text>
        <t>======
ID#AAABESIup1U
    (2024-01-30 10:41:04)
coloque as repetições da série</t>
      </text>
    </comment>
    <comment ref="C22" authorId="0" shapeId="0">
      <text>
        <t>======
ID#AAABESIup3c
    (2024-01-30 10:41:04)
coloque o peso usado nessa série</t>
      </text>
    </comment>
    <comment ref="D22" authorId="0" shapeId="0">
      <text>
        <t>======
ID#AAABFXW-m5A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ID#AAABFXW-nNQ
    (2024-01-30 10:41:04)
VTT
 Série x repetições x peso</t>
      </text>
    </comment>
    <comment ref="G22" authorId="0" shapeId="0">
      <text>
        <t>======
ID#AAABFXW-mxI
    (2024-01-30 10:41:03)
coloque as repetições da série</t>
      </text>
    </comment>
    <comment ref="H22" authorId="0" shapeId="0">
      <text>
        <t>======
ID#AAABESIup3I
    (2024-01-30 10:41:04)
coloque o peso usado nessa série</t>
      </text>
    </comment>
    <comment ref="I22" authorId="0" shapeId="0">
      <text>
        <t>======
ID#AAABFXW-my8
    (2024-01-30 10:41:03)
coloque a velocidade média em segundos usada nessa série (soma da ação concêntrica e excêntrica) obtida pelo metrônomo ou acelerômetro</t>
      </text>
    </comment>
    <comment ref="J22" authorId="0" shapeId="0">
      <text>
        <t>======
ID#AAABFXW-m20
    (2024-01-30 10:41:03)
VTT
 Série x repetições x peso</t>
      </text>
    </comment>
    <comment ref="L22" authorId="0" shapeId="0">
      <text>
        <t>======
ID#AAABFXW-nWM
    (2024-01-30 10:41:04)
coloque as repetições da série</t>
      </text>
    </comment>
    <comment ref="M22" authorId="0" shapeId="0">
      <text>
        <t>======
ID#AAABESIuqEU
    (2024-01-30 10:41:04)
coloque o peso usado nessa série</t>
      </text>
    </comment>
    <comment ref="N22" authorId="0" shapeId="0">
      <text>
        <t>======
ID#AAABFXW-nNk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ID#AAABFXW-nE4
    (2024-01-30 10:41:04)
VTT
 Série x repetições x peso</t>
      </text>
    </comment>
    <comment ref="Q22" authorId="0" shapeId="0">
      <text>
        <t>======
ID#AAABFXW-m98
    (2024-01-30 10:41:03)
coloque as repetições da série</t>
      </text>
    </comment>
    <comment ref="R22" authorId="0" shapeId="0">
      <text>
        <t>======
ID#AAABFXW-nQo
    (2024-01-30 10:41:04)
coloque o peso usado nessa série</t>
      </text>
    </comment>
    <comment ref="S22" authorId="0" shapeId="0">
      <text>
        <t>======
ID#AAABESIuqDs
    (2024-01-30 10:41:04)
coloque a velocidade média em segundos usada nessa série (soma da ação concêntrica e excêntrica) obtida pelo metrônomo ou acelerômetro</t>
      </text>
    </comment>
    <comment ref="T22" authorId="0" shapeId="0">
      <text>
        <t>======
ID#AAABESIuqHw
    (2024-01-30 10:41:04)
VTT
 Série x repetições x peso</t>
      </text>
    </comment>
    <comment ref="V22" authorId="0" shapeId="0">
      <text>
        <t>======
ID#AAABESIup1k
    (2024-01-30 10:41:04)
coloque as repetições da série</t>
      </text>
    </comment>
    <comment ref="W22" authorId="0" shapeId="0">
      <text>
        <t>======
ID#AAABESIup_M
    (2024-01-30 10:41:04)
coloque o peso usado nessa série</t>
      </text>
    </comment>
    <comment ref="X22" authorId="0" shapeId="0">
      <text>
        <t>======
ID#AAABFXW-nXk
    (2024-01-30 10:41:04)
coloque a velocidade média em segundos usada nessa série (soma da ação concêntrica e excêntrica) obtida pelo metrônomo ou acelerômetro</t>
      </text>
    </comment>
    <comment ref="Y22" authorId="0" shapeId="0">
      <text>
        <t>======
ID#AAABFXW-m0g
    (2024-01-30 10:41:03)
VTT
 Série x repetições x peso</t>
      </text>
    </comment>
    <comment ref="AG24" authorId="0" shapeId="0">
      <text>
        <t>======
ID#AAABESIuqHA
    (2024-01-30 10:41:04)
Inserir tempo total de sessão em minutos</t>
      </text>
    </comment>
    <comment ref="E35" authorId="0" shapeId="0">
      <text>
        <t>======
ID#AAABFXW-m8w
    (2024-01-30 10:41:03)
Percepção de recuperação de intervalo entre as séries. Inserir valor na célula ao lado direito</t>
      </text>
    </comment>
    <comment ref="J35" authorId="0" shapeId="0">
      <text>
        <t>======
ID#AAABFXW-nFI
    (2024-01-30 10:41:04)
Percepção de recuperação de intervalo entre as séries. Inserir valor na célula ao lado direito</t>
      </text>
    </comment>
    <comment ref="O35" authorId="0" shapeId="0">
      <text>
        <t>======
ID#AAABESIup7o
    (2024-01-30 10:41:04)
Percepção de recuperação de intervalo entre as séries. Inserir valor na célula ao lado direito</t>
      </text>
    </comment>
    <comment ref="T35" authorId="0" shapeId="0">
      <text>
        <t>======
ID#AAABFXW-m-o
    (2024-01-30 10:41:03)
Percepção de recuperação de intervalo entre as séries. Inserir valor na célula ao lado direito</t>
      </text>
    </comment>
    <comment ref="AC35" authorId="0" shapeId="0">
      <text>
        <t>======
ID#AAABESIupzE
    (2024-01-30 10:41:04)
PR média obtida de todas as séries</t>
      </text>
    </comment>
    <comment ref="L37" authorId="0" shapeId="0">
      <text>
        <t>======
ID#AAABESIuqFU
    (2024-01-30 10:41:04)
sono obtido pela escala Hooper</t>
      </text>
    </comment>
    <comment ref="M37" authorId="0" shapeId="0">
      <text>
        <t>======
ID#AAABFXW-nWs
    (2024-01-30 10:41:04)
estresse obtido pela escala Hooper</t>
      </text>
    </comment>
    <comment ref="N37" authorId="0" shapeId="0">
      <text>
        <t>======
ID#AAABFXW-m4U
    (2024-01-30 10:41:03)
fadiga obtida pela escala Hooper</t>
      </text>
    </comment>
    <comment ref="O37" authorId="0" shapeId="0">
      <text>
        <t>======
ID#AAABFXW-nNU
    (2024-01-30 10:41:04)
fadiga obtida pela escala Hooper</t>
      </text>
    </comment>
    <comment ref="Q37" authorId="0" shapeId="0">
      <text>
        <t>======
ID#AAABESIup04
    (2024-01-30 10:41:04)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ID#AAABFXW-nFA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ID#AAABFXW-m9k
    (2024-01-30 10:41:03)
Inserir data do treino</t>
      </text>
    </comment>
    <comment ref="A39" authorId="0" shapeId="0">
      <text>
        <t>======
ID#AAABESIuqAs
    (2024-01-30 10:41:04)
Inserir abaixo os exercícios utilizados nesse dia</t>
      </text>
    </comment>
    <comment ref="AA39" authorId="0" shapeId="0">
      <text>
        <t>======
ID#AAABFXW-nOs
    (2024-01-30 10:41:04)
percentual de alteração da velocidade de movimento da série 2 versus série 1</t>
      </text>
    </comment>
    <comment ref="AB39" authorId="0" shapeId="0">
      <text>
        <t>======
ID#AAABFXW-nMA
    (2024-01-30 10:41:04)
percentual de alteração da velocidade de movimento da série 3 versus série 1</t>
      </text>
    </comment>
    <comment ref="AC39" authorId="0" shapeId="0">
      <text>
        <t>======
ID#AAABESIup88
    (2024-01-30 10:41:04)
percentual de alteração da velocidade de movimento da série 4 versus série 1</t>
      </text>
    </comment>
    <comment ref="AD39" authorId="0" shapeId="0">
      <text>
        <t>======
ID#AAABESIupu0
    (2024-01-30 10:41:04)
percentual de alteração da velocidade de movimento da série 5 versus série 1</t>
      </text>
    </comment>
    <comment ref="AE39" authorId="0" shapeId="0">
      <text>
        <t>======
ID#AAABFXW-nHU
    (2024-01-30 10:41:04)
Inserir abaixo o valor de PSE da sessão obtida 30 minutos após a sessão de treino</t>
      </text>
    </comment>
    <comment ref="AG39" authorId="0" shapeId="0">
      <text>
        <t>======
ID#AAABFXW-nKA
    (2024-01-30 10:41:04)
Volume total de treino da sessão</t>
      </text>
    </comment>
    <comment ref="AJ39" authorId="0" shapeId="0">
      <text>
        <t>======
ID#AAABFXW-nUI
    (2024-01-30 10:41:04)
Número de s</t>
      </text>
    </comment>
    <comment ref="B40" authorId="0" shapeId="0">
      <text>
        <t>======
ID#AAABFXW-nJM
    (2024-01-30 10:41:04)
coloque as repetições da série</t>
      </text>
    </comment>
    <comment ref="C40" authorId="0" shapeId="0">
      <text>
        <t>======
ID#AAABESIupxI
    (2024-01-30 10:41:04)
coloque o peso usado nessa série</t>
      </text>
    </comment>
    <comment ref="D40" authorId="0" shapeId="0">
      <text>
        <t>======
ID#AAABESIup5A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ID#AAABESIupy8
    (2024-01-30 10:41:04)
VTT
 Série x repetições x peso</t>
      </text>
    </comment>
    <comment ref="G40" authorId="0" shapeId="0">
      <text>
        <t>======
ID#AAABFXW-mwk
    (2024-01-30 10:41:03)
coloque as repetições da série</t>
      </text>
    </comment>
    <comment ref="H40" authorId="0" shapeId="0">
      <text>
        <t>======
ID#AAABFXW-nN4
    (2024-01-30 10:41:04)
coloque o peso usado nessa série</t>
      </text>
    </comment>
    <comment ref="I40" authorId="0" shapeId="0">
      <text>
        <t>======
ID#AAABFXW-m_k
    (2024-01-30 10:41:03)
coloque a velocidade média em segundos usada nessa série (soma da ação concêntrica e excêntrica) obtida pelo metrônomo ou acelerômetro</t>
      </text>
    </comment>
    <comment ref="J40" authorId="0" shapeId="0">
      <text>
        <t>======
ID#AAABFXW-nI4
    (2024-01-30 10:41:04)
VTT
 Série x repetições x peso</t>
      </text>
    </comment>
    <comment ref="L40" authorId="0" shapeId="0">
      <text>
        <t>======
ID#AAABESIupqM
    (2024-01-30 10:41:04)
coloque as repetições da série</t>
      </text>
    </comment>
    <comment ref="M40" authorId="0" shapeId="0">
      <text>
        <t>======
ID#AAABESIup6I
    (2024-01-30 10:41:04)
coloque o peso usado nessa série</t>
      </text>
    </comment>
    <comment ref="N40" authorId="0" shapeId="0">
      <text>
        <t>======
ID#AAABFXW-nJ4
    (2024-01-30 10:41:04)
coloque a velocidade média em segundos usada nessa série (soma da ação concêntrica e excêntrica) obtida pelo metrônomo ou acelerômetro</t>
      </text>
    </comment>
    <comment ref="O40" authorId="0" shapeId="0">
      <text>
        <t>======
ID#AAABFXW-nMs
    (2024-01-30 10:41:04)
VTT
 Série x repetições x peso</t>
      </text>
    </comment>
    <comment ref="Q40" authorId="0" shapeId="0">
      <text>
        <t>======
ID#AAABESIuqGw
    (2024-01-30 10:41:04)
coloque as repetições da série</t>
      </text>
    </comment>
    <comment ref="R40" authorId="0" shapeId="0">
      <text>
        <t>======
ID#AAABFXW-myc
    (2024-01-30 10:41:03)
coloque o peso usado nessa série</t>
      </text>
    </comment>
    <comment ref="S40" authorId="0" shapeId="0">
      <text>
        <t>======
ID#AAABESIup0U
    (2024-01-30 10:41:04)
coloque a velocidade média em segundos usada nessa série (soma da ação concêntrica e excêntrica) obtida pelo metrônomo ou acelerômetro</t>
      </text>
    </comment>
    <comment ref="T40" authorId="0" shapeId="0">
      <text>
        <t>======
ID#AAABFXW-m3Q
    (2024-01-30 10:41:03)
VTT
 Série x repetições x peso</t>
      </text>
    </comment>
    <comment ref="V40" authorId="0" shapeId="0">
      <text>
        <t>======
ID#AAABESIuqEk
    (2024-01-30 10:41:04)
coloque as repetições da série</t>
      </text>
    </comment>
    <comment ref="W40" authorId="0" shapeId="0">
      <text>
        <t>======
ID#AAABFXW-mwA
    (2024-01-30 10:41:03)
coloque o peso usado nessa série</t>
      </text>
    </comment>
    <comment ref="X40" authorId="0" shapeId="0">
      <text>
        <t>======
ID#AAABFXW-nFM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ID#AAABESIup2U
    (2024-01-30 10:41:04)
VTT
 Série x repetições x peso</t>
      </text>
    </comment>
    <comment ref="AG42" authorId="0" shapeId="0">
      <text>
        <t>======
ID#AAABESIupvo
    (2024-01-30 10:41:04)
Inserir tempo total de sessão em minutos</t>
      </text>
    </comment>
    <comment ref="E53" authorId="0" shapeId="0">
      <text>
        <t>======
ID#AAABFXW-nFo
    (2024-01-30 10:41:04)
Percepção de recuperação de intervalo entre as séries. Inserir valor na célula ao lado direito</t>
      </text>
    </comment>
    <comment ref="J53" authorId="0" shapeId="0">
      <text>
        <t>======
ID#AAABESIupvk
    (2024-01-30 10:41:04)
Percepção de recuperação de intervalo entre as séries. Inserir valor na célula ao lado direito</t>
      </text>
    </comment>
    <comment ref="O53" authorId="0" shapeId="0">
      <text>
        <t>======
ID#AAABESIuqDk
    (2024-01-30 10:41:04)
Percepção de recuperação de intervalo entre as séries. Inserir valor na célula ao lado direito</t>
      </text>
    </comment>
    <comment ref="T53" authorId="0" shapeId="0">
      <text>
        <t>======
ID#AAABFXW-nJg
    (2024-01-30 10:41:04)
Percepção de recuperação de intervalo entre as séries. Inserir valor na célula ao lado direito</t>
      </text>
    </comment>
    <comment ref="AC53" authorId="0" shapeId="0">
      <text>
        <t>======
ID#AAABESIupx0
    (2024-01-30 10:41:04)
PR média obtida de todas as séries</t>
      </text>
    </comment>
    <comment ref="L55" authorId="0" shapeId="0">
      <text>
        <t>======
ID#AAABESIup0s
    (2024-01-30 10:41:04)
sono obtido pela escala Hooper</t>
      </text>
    </comment>
    <comment ref="M55" authorId="0" shapeId="0">
      <text>
        <t>======
ID#AAABESIupys
    (2024-01-30 10:41:04)
estresse obtido pela escala Hooper</t>
      </text>
    </comment>
    <comment ref="N55" authorId="0" shapeId="0">
      <text>
        <t>======
ID#AAABFXW-nIs
    (2024-01-30 10:41:04)
fadiga obtida pela escala Hooper</t>
      </text>
    </comment>
    <comment ref="O55" authorId="0" shapeId="0">
      <text>
        <t>======
ID#AAABFXW-nAc
    (2024-01-30 10:41:03)
fadiga obtida pela escala Hooper</t>
      </text>
    </comment>
    <comment ref="Q55" authorId="0" shapeId="0">
      <text>
        <t>======
ID#AAABFXW-m68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ID#AAABFXW-nFU
    (2024-01-30 10:41:04)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ID#AAABFXW-nK0
    (2024-01-30 10:41:04)
Inserir data do treino</t>
      </text>
    </comment>
    <comment ref="A57" authorId="0" shapeId="0">
      <text>
        <t>======
ID#AAABESIup4g
    (2024-01-30 10:41:04)
Inserir abaixo os exercícios utilizados nesse dia</t>
      </text>
    </comment>
    <comment ref="AA57" authorId="0" shapeId="0">
      <text>
        <t>======
ID#AAABFXW-my0
    (2024-01-30 10:41:03)
percentual de alteração da velocidade de movimento da série 2 versus série 1</t>
      </text>
    </comment>
    <comment ref="AB57" authorId="0" shapeId="0">
      <text>
        <t>======
ID#AAABESIupv8
    (2024-01-30 10:41:04)
percentual de alteração da velocidade de movimento da série 3 versus série 1</t>
      </text>
    </comment>
    <comment ref="AC57" authorId="0" shapeId="0">
      <text>
        <t>======
ID#AAABESIuqFs
    (2024-01-30 10:41:04)
percentual de alteração da velocidade de movimento da série 4 versus série 1</t>
      </text>
    </comment>
    <comment ref="AD57" authorId="0" shapeId="0">
      <text>
        <t>======
ID#AAABESIup5E
    (2024-01-30 10:41:04)
percentual de alteração da velocidade de movimento da série 5 versus série 1</t>
      </text>
    </comment>
    <comment ref="AE57" authorId="0" shapeId="0">
      <text>
        <t>======
ID#AAABESIup8M
    (2024-01-30 10:41:04)
Inserir abaixo o valor de PSE da sessão obtida 30 minutos após a sessão de treino</t>
      </text>
    </comment>
    <comment ref="AG57" authorId="0" shapeId="0">
      <text>
        <t>======
ID#AAABFXW-m-w
    (2024-01-30 10:41:03)
Volume total de treino da sessão</t>
      </text>
    </comment>
    <comment ref="AJ57" authorId="0" shapeId="0">
      <text>
        <t>======
ID#AAABFXW-m1k
    (2024-01-30 10:41:03)
Número de s</t>
      </text>
    </comment>
    <comment ref="B58" authorId="0" shapeId="0">
      <text>
        <t>======
ID#AAABFXW-nTM
    (2024-01-30 10:41:04)
coloque as repetições da série</t>
      </text>
    </comment>
    <comment ref="C58" authorId="0" shapeId="0">
      <text>
        <t>======
ID#AAABFXW-m9Q
    (2024-01-30 10:41:03)
coloque o peso usado nessa série</t>
      </text>
    </comment>
    <comment ref="D58" authorId="0" shapeId="0">
      <text>
        <t>======
ID#AAABFXW-nUM
    (2024-01-30 10:41:04)
coloque a velocidade média em segundos usada nessa série (soma da ação concêntrica e excêntrica) obtida pelo metrônomo ou acelerômetro</t>
      </text>
    </comment>
    <comment ref="E58" authorId="0" shapeId="0">
      <text>
        <t>======
ID#AAABESIuqIM
    (2024-01-30 10:41:04)
VTT
 Série x repetições x peso</t>
      </text>
    </comment>
    <comment ref="G58" authorId="0" shapeId="0">
      <text>
        <t>======
ID#AAABFXW-m18
    (2024-01-30 10:41:03)
coloque as repetições da série</t>
      </text>
    </comment>
    <comment ref="H58" authorId="0" shapeId="0">
      <text>
        <t>======
ID#AAABFXW-nF4
    (2024-01-30 10:41:04)
coloque o peso usado nessa série</t>
      </text>
    </comment>
    <comment ref="I58" authorId="0" shapeId="0">
      <text>
        <t>======
ID#AAABFXW-nCs
    (2024-01-30 10:41:03)
coloque a velocidade média em segundos usada nessa série (soma da ação concêntrica e excêntrica) obtida pelo metrônomo ou acelerômetro</t>
      </text>
    </comment>
    <comment ref="J58" authorId="0" shapeId="0">
      <text>
        <t>======
ID#AAABESIup1I
    (2024-01-30 10:41:04)
VTT
 Série x repetições x peso</t>
      </text>
    </comment>
    <comment ref="L58" authorId="0" shapeId="0">
      <text>
        <t>======
ID#AAABESIup2g
    (2024-01-30 10:41:04)
coloque as repetições da série</t>
      </text>
    </comment>
    <comment ref="M58" authorId="0" shapeId="0">
      <text>
        <t>======
ID#AAABESIup9E
    (2024-01-30 10:41:04)
coloque o peso usado nessa série</t>
      </text>
    </comment>
    <comment ref="N58" authorId="0" shapeId="0">
      <text>
        <t>======
ID#AAABESIup3M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ID#AAABESIuqH0
    (2024-01-30 10:41:04)
VTT
 Série x repetições x peso</t>
      </text>
    </comment>
    <comment ref="Q58" authorId="0" shapeId="0">
      <text>
        <t>======
ID#AAABFXW-m6s
    (2024-01-30 10:41:03)
coloque as repetições da série</t>
      </text>
    </comment>
    <comment ref="R58" authorId="0" shapeId="0">
      <text>
        <t>======
ID#AAABESIuqCg
    (2024-01-30 10:41:04)
coloque o peso usado nessa série</t>
      </text>
    </comment>
    <comment ref="S58" authorId="0" shapeId="0">
      <text>
        <t>======
ID#AAABFXW-nMg
    (2024-01-30 10:41:04)
coloque a velocidade média em segundos usada nessa série (soma da ação concêntrica e excêntrica) obtida pelo metrônomo ou acelerômetro</t>
      </text>
    </comment>
    <comment ref="T58" authorId="0" shapeId="0">
      <text>
        <t>======
ID#AAABFXW-nJs
    (2024-01-30 10:41:04)
VTT
 Série x repetições x peso</t>
      </text>
    </comment>
    <comment ref="V58" authorId="0" shapeId="0">
      <text>
        <t>======
ID#AAABFXW-nDI
    (2024-01-30 10:41:04)
coloque as repetições da série</t>
      </text>
    </comment>
    <comment ref="W58" authorId="0" shapeId="0">
      <text>
        <t>======
ID#AAABESIuptQ
    (2024-01-30 10:41:04)
coloque o peso usado nessa série</t>
      </text>
    </comment>
    <comment ref="X58" authorId="0" shapeId="0">
      <text>
        <t>======
ID#AAABESIupv4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ID#AAABFXW-nKE
    (2024-01-30 10:41:04)
VTT
 Série x repetições x peso</t>
      </text>
    </comment>
    <comment ref="AG60" authorId="0" shapeId="0">
      <text>
        <t>======
ID#AAABFXW-m4s
    (2024-01-30 10:41:03)
Inserir tempo total de sessão em minutos</t>
      </text>
    </comment>
    <comment ref="E71" authorId="0" shapeId="0">
      <text>
        <t>======
ID#AAABFXW-m2c
    (2024-01-30 10:41:03)
Percepção de recuperação de intervalo entre as séries. Inserir valor na célula ao lado direito</t>
      </text>
    </comment>
    <comment ref="J71" authorId="0" shapeId="0">
      <text>
        <t>======
ID#AAABESIuqG0
    (2024-01-30 10:41:04)
Percepção de recuperação de intervalo entre as séries. Inserir valor na célula ao lado direito</t>
      </text>
    </comment>
    <comment ref="O71" authorId="0" shapeId="0">
      <text>
        <t>======
ID#AAABESIuqIk
    (2024-01-30 10:41:04)
Percepção de recuperação de intervalo entre as séries. Inserir valor na célula ao lado direito</t>
      </text>
    </comment>
    <comment ref="T71" authorId="0" shapeId="0">
      <text>
        <t>======
ID#AAABFXW-m24
    (2024-01-30 10:41:03)
Percepção de recuperação de intervalo entre as séries. Inserir valor na célula ao lado direito</t>
      </text>
    </comment>
    <comment ref="AC71" authorId="0" shapeId="0">
      <text>
        <t>======
ID#AAABFXW-m2U
    (2024-01-30 10:41:03)
PR média obtida de todas as séries</t>
      </text>
    </comment>
    <comment ref="L73" authorId="0" shapeId="0">
      <text>
        <t>======
ID#AAABFXW-m7Y
    (2024-01-30 10:41:03)
sono obtido pela escala Hooper</t>
      </text>
    </comment>
    <comment ref="M73" authorId="0" shapeId="0">
      <text>
        <t>======
ID#AAABESIup6o
    (2024-01-30 10:41:04)
estresse obtido pela escala Hooper</t>
      </text>
    </comment>
    <comment ref="N73" authorId="0" shapeId="0">
      <text>
        <t>======
ID#AAABESIuqDM
    (2024-01-30 10:41:04)
fadiga obtida pela escala Hooper</t>
      </text>
    </comment>
    <comment ref="O73" authorId="0" shapeId="0">
      <text>
        <t>======
ID#AAABESIup80
    (2024-01-30 10:41:04)
fadiga obtida pela escala Hooper</t>
      </text>
    </comment>
    <comment ref="Q73" authorId="0" shapeId="0">
      <text>
        <t>======
ID#AAABESIupvA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ID#AAABFXW-nHY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ID#AAABFXW-m_I
    (2024-01-30 10:41:03)
Inserir data do treino</t>
      </text>
    </comment>
    <comment ref="A75" authorId="0" shapeId="0">
      <text>
        <t>======
ID#AAABESIup4s
    (2024-01-30 10:41:04)
Inserir abaixo os exercícios utilizados nesse dia</t>
      </text>
    </comment>
    <comment ref="AA75" authorId="0" shapeId="0">
      <text>
        <t>======
ID#AAABFXW-nEc
    (2024-01-30 10:41:04)
percentual de alteração da velocidade de movimento da série 2 versus série 1</t>
      </text>
    </comment>
    <comment ref="AB75" authorId="0" shapeId="0">
      <text>
        <t>======
ID#AAABFXW-nRA
    (2024-01-30 10:41:04)
percentual de alteração da velocidade de movimento da série 3 versus série 1</t>
      </text>
    </comment>
    <comment ref="AC75" authorId="0" shapeId="0">
      <text>
        <t>======
ID#AAABFXW-m7s
    (2024-01-30 10:41:03)
percentual de alteração da velocidade de movimento da série 4 versus série 1</t>
      </text>
    </comment>
    <comment ref="AD75" authorId="0" shapeId="0">
      <text>
        <t>======
ID#AAABESIup-Q
    (2024-01-30 10:41:04)
percentual de alteração da velocidade de movimento da série 5 versus série 1</t>
      </text>
    </comment>
    <comment ref="AE75" authorId="0" shapeId="0">
      <text>
        <t>======
ID#AAABESIup_k
    (2024-01-30 10:41:04)
Inserir abaixo o valor de PSE da sessão obtida 30 minutos após a sessão de treino</t>
      </text>
    </comment>
    <comment ref="AG75" authorId="0" shapeId="0">
      <text>
        <t>======
ID#AAABESIup6M
    (2024-01-30 10:41:04)
Volume total de treino da sessão</t>
      </text>
    </comment>
    <comment ref="AJ75" authorId="0" shapeId="0">
      <text>
        <t>======
ID#AAABESIupxs
    (2024-01-30 10:41:04)
Número de s</t>
      </text>
    </comment>
    <comment ref="B76" authorId="0" shapeId="0">
      <text>
        <t>======
ID#AAABESIupw8
    (2024-01-30 10:41:04)
coloque as repetições da série</t>
      </text>
    </comment>
    <comment ref="C76" authorId="0" shapeId="0">
      <text>
        <t>======
ID#AAABFXW-m8Y
    (2024-01-30 10:41:03)
coloque o peso usado nessa série</t>
      </text>
    </comment>
    <comment ref="D76" authorId="0" shapeId="0">
      <text>
        <t>======
ID#AAABFXW-nPU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ID#AAABFXW-nAs
    (2024-01-30 10:41:03)
VTT
 Série x repetições x peso</t>
      </text>
    </comment>
    <comment ref="G76" authorId="0" shapeId="0">
      <text>
        <t>======
ID#AAABFXW-m60
    (2024-01-30 10:41:03)
coloque as repetições da série</t>
      </text>
    </comment>
    <comment ref="H76" authorId="0" shapeId="0">
      <text>
        <t>======
ID#AAABFXW-nFE
    (2024-01-30 10:41:04)
coloque o peso usado nessa série</t>
      </text>
    </comment>
    <comment ref="I76" authorId="0" shapeId="0">
      <text>
        <t>======
ID#AAABFXW-nWc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ID#AAABFXW-nR4
    (2024-01-30 10:41:04)
VTT
 Série x repetições x peso</t>
      </text>
    </comment>
    <comment ref="L76" authorId="0" shapeId="0">
      <text>
        <t>======
ID#AAABESIuqGQ
    (2024-01-30 10:41:04)
coloque as repetições da série</t>
      </text>
    </comment>
    <comment ref="M76" authorId="0" shapeId="0">
      <text>
        <t>======
ID#AAABFXW-m_o
    (2024-01-30 10:41:03)
coloque o peso usado nessa série</t>
      </text>
    </comment>
    <comment ref="N76" authorId="0" shapeId="0">
      <text>
        <t>======
ID#AAABESIup70
    (2024-01-30 10:41:04)
coloque a velocidade média em segundos usada nessa série (soma da ação concêntrica e excêntrica) obtida pelo metrônomo ou acelerômetro</t>
      </text>
    </comment>
    <comment ref="O76" authorId="0" shapeId="0">
      <text>
        <t>======
ID#AAABESIup4M
    (2024-01-30 10:41:04)
VTT
 Série x repetições x peso</t>
      </text>
    </comment>
    <comment ref="Q76" authorId="0" shapeId="0">
      <text>
        <t>======
ID#AAABFXW-nPQ
    (2024-01-30 10:41:04)
coloque as repetições da série</t>
      </text>
    </comment>
    <comment ref="R76" authorId="0" shapeId="0">
      <text>
        <t>======
ID#AAABFXW-nQU
    (2024-01-30 10:41:04)
coloque o peso usado nessa série</t>
      </text>
    </comment>
    <comment ref="S76" authorId="0" shapeId="0">
      <text>
        <t>======
ID#AAABESIuqIY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ID#AAABESIupyU
    (2024-01-30 10:41:04)
VTT
 Série x repetições x peso</t>
      </text>
    </comment>
    <comment ref="V76" authorId="0" shapeId="0">
      <text>
        <t>======
ID#AAABESIupxk
    (2024-01-30 10:41:04)
coloque as repetições da série</t>
      </text>
    </comment>
    <comment ref="W76" authorId="0" shapeId="0">
      <text>
        <t>======
ID#AAABFXW-nMo
    (2024-01-30 10:41:04)
coloque o peso usado nessa série</t>
      </text>
    </comment>
    <comment ref="X76" authorId="0" shapeId="0">
      <text>
        <t>======
ID#AAABESIup4Y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ID#AAABESIuqEg
    (2024-01-30 10:41:04)
VTT
 Série x repetições x peso</t>
      </text>
    </comment>
    <comment ref="AG78" authorId="0" shapeId="0">
      <text>
        <t>======
ID#AAABESIups4
    (2024-01-30 10:41:04)
Inserir tempo total de sessão em minutos</t>
      </text>
    </comment>
    <comment ref="E89" authorId="0" shapeId="0">
      <text>
        <t>======
ID#AAABFXW-nTk
    (2024-01-30 10:41:04)
Percepção de recuperação de intervalo entre as séries. Inserir valor na célula ao lado direito</t>
      </text>
    </comment>
    <comment ref="J89" authorId="0" shapeId="0">
      <text>
        <t>======
ID#AAABFXW-myg
    (2024-01-30 10:41:03)
Percepção de recuperação de intervalo entre as séries. Inserir valor na célula ao lado direito</t>
      </text>
    </comment>
    <comment ref="O89" authorId="0" shapeId="0">
      <text>
        <t>======
ID#AAABFXW-m-g
    (2024-01-30 10:41:03)
Percepção de recuperação de intervalo entre as séries. Inserir valor na célula ao lado direito</t>
      </text>
    </comment>
    <comment ref="T89" authorId="0" shapeId="0">
      <text>
        <t>======
ID#AAABESIuqBk
    (2024-01-30 10:41:04)
Percepção de recuperação de intervalo entre as séries. Inserir valor na célula ao lado direito</t>
      </text>
    </comment>
    <comment ref="AC89" authorId="0" shapeId="0">
      <text>
        <t>======
ID#AAABFXW-m58
    (2024-01-30 10:41:03)
PR média obtida de todas as séries</t>
      </text>
    </comment>
    <comment ref="L91" authorId="0" shapeId="0">
      <text>
        <t>======
ID#AAABFXW-m4Q
    (2024-01-30 10:41:03)
sono obtido pela escala Hooper</t>
      </text>
    </comment>
    <comment ref="M91" authorId="0" shapeId="0">
      <text>
        <t>======
ID#AAABFXW-nM0
    (2024-01-30 10:41:04)
estresse obtido pela escala Hooper</t>
      </text>
    </comment>
    <comment ref="N91" authorId="0" shapeId="0">
      <text>
        <t>======
ID#AAABESIuqEM
    (2024-01-30 10:41:04)
fadiga obtida pela escala Hooper</t>
      </text>
    </comment>
    <comment ref="O91" authorId="0" shapeId="0">
      <text>
        <t>======
ID#AAABESIupwU
    (2024-01-30 10:41:04)
fadiga obtida pela escala Hooper</t>
      </text>
    </comment>
    <comment ref="Q91" authorId="0" shapeId="0">
      <text>
        <t>======
ID#AAABFXW-mv8
    (2024-01-30 10:41:03)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ID#AAABFXW-nOA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ID#AAABESIuqII
    (2024-01-30 10:41:04)
Inserir data do treino</t>
      </text>
    </comment>
    <comment ref="A93" authorId="0" shapeId="0">
      <text>
        <t>======
ID#AAABESIuqD0
    (2024-01-30 10:41:04)
Inserir abaixo os exercícios utilizados nesse dia</t>
      </text>
    </comment>
    <comment ref="AA93" authorId="0" shapeId="0">
      <text>
        <t>======
ID#AAABFXW-nW4
    (2024-01-30 10:41:04)
percentual de alteração da velocidade de movimento da série 2 versus série 1</t>
      </text>
    </comment>
    <comment ref="AB93" authorId="0" shapeId="0">
      <text>
        <t>======
ID#AAABESIupq8
    (2024-01-30 10:41:04)
percentual de alteração da velocidade de movimento da série 3 versus série 1</t>
      </text>
    </comment>
    <comment ref="AC93" authorId="0" shapeId="0">
      <text>
        <t>======
ID#AAABFXW-nOw
    (2024-01-30 10:41:04)
percentual de alteração da velocidade de movimento da série 4 versus série 1</t>
      </text>
    </comment>
    <comment ref="AD93" authorId="0" shapeId="0">
      <text>
        <t>======
ID#AAABFXW-m4g
    (2024-01-30 10:41:03)
percentual de alteração da velocidade de movimento da série 5 versus série 1</t>
      </text>
    </comment>
    <comment ref="AE93" authorId="0" shapeId="0">
      <text>
        <t>======
ID#AAABFXW-nUk
    (2024-01-30 10:41:04)
Inserir abaixo o valor de PSE da sessão obtida 30 minutos após a sessão de treino</t>
      </text>
    </comment>
    <comment ref="AG93" authorId="0" shapeId="0">
      <text>
        <t>======
ID#AAABESIup8k
    (2024-01-30 10:41:04)
Volume total de treino da sessão</t>
      </text>
    </comment>
    <comment ref="AJ93" authorId="0" shapeId="0">
      <text>
        <t>======
ID#AAABESIup7I
    (2024-01-30 10:41:04)
Número de s</t>
      </text>
    </comment>
    <comment ref="B94" authorId="0" shapeId="0">
      <text>
        <t>======
ID#AAABESIup-E
    (2024-01-30 10:41:04)
coloque as repetições da série</t>
      </text>
    </comment>
    <comment ref="C94" authorId="0" shapeId="0">
      <text>
        <t>======
ID#AAABFXW-nGs
    (2024-01-30 10:41:04)
coloque o peso usado nessa série</t>
      </text>
    </comment>
    <comment ref="D94" authorId="0" shapeId="0">
      <text>
        <t>======
ID#AAABFXW-m6Q
    (2024-01-30 10:41:03)
coloque a velocidade média em segundos usada nessa série (soma da ação concêntrica e excêntrica) obtida pelo metrônomo ou acelerômetro</t>
      </text>
    </comment>
    <comment ref="E94" authorId="0" shapeId="0">
      <text>
        <t>======
ID#AAABESIuqHQ
    (2024-01-30 10:41:04)
VTT
 Série x repetições x peso</t>
      </text>
    </comment>
    <comment ref="G94" authorId="0" shapeId="0">
      <text>
        <t>======
ID#AAABFXW-myk
    (2024-01-30 10:41:03)
coloque as repetições da série</t>
      </text>
    </comment>
    <comment ref="H94" authorId="0" shapeId="0">
      <text>
        <t>======
ID#AAABESIup2A
    (2024-01-30 10:41:04)
coloque o peso usado nessa série</t>
      </text>
    </comment>
    <comment ref="I94" authorId="0" shapeId="0">
      <text>
        <t>======
ID#AAABESIupvI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ID#AAABESIup3k
    (2024-01-30 10:41:04)
VTT
 Série x repetições x peso</t>
      </text>
    </comment>
    <comment ref="L94" authorId="0" shapeId="0">
      <text>
        <t>======
ID#AAABFXW-nL8
    (2024-01-30 10:41:04)
coloque as repetições da série</t>
      </text>
    </comment>
    <comment ref="M94" authorId="0" shapeId="0">
      <text>
        <t>======
ID#AAABFXW-nJk
    (2024-01-30 10:41:04)
coloque o peso usado nessa série</t>
      </text>
    </comment>
    <comment ref="N94" authorId="0" shapeId="0">
      <text>
        <t>======
ID#AAABFXW-m6w
    (2024-01-30 10:41:03)
coloque a velocidade média em segundos usada nessa série (soma da ação concêntrica e excêntrica) obtida pelo metrônomo ou acelerômetro</t>
      </text>
    </comment>
    <comment ref="O94" authorId="0" shapeId="0">
      <text>
        <t>======
ID#AAABESIup4U
    (2024-01-30 10:41:04)
VTT
 Série x repetições x peso</t>
      </text>
    </comment>
    <comment ref="Q94" authorId="0" shapeId="0">
      <text>
        <t>======
ID#AAABFXW-m_Q
    (2024-01-30 10:41:03)
coloque as repetições da série</t>
      </text>
    </comment>
    <comment ref="R94" authorId="0" shapeId="0">
      <text>
        <t>======
ID#AAABFXW-nHM
    (2024-01-30 10:41:04)
coloque o peso usado nessa série</t>
      </text>
    </comment>
    <comment ref="S94" authorId="0" shapeId="0">
      <text>
        <t>======
ID#AAABFXW-nNo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ID#AAABESIup_U
    (2024-01-30 10:41:04)
VTT
 Série x repetições x peso</t>
      </text>
    </comment>
    <comment ref="V94" authorId="0" shapeId="0">
      <text>
        <t>======
ID#AAABFXW-nVc
    (2024-01-30 10:41:04)
coloque as repetições da série</t>
      </text>
    </comment>
    <comment ref="W94" authorId="0" shapeId="0">
      <text>
        <t>======
ID#AAABESIupuw
    (2024-01-30 10:41:04)
coloque o peso usado nessa série</t>
      </text>
    </comment>
    <comment ref="X94" authorId="0" shapeId="0">
      <text>
        <t>======
ID#AAABESIup3o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ID#AAABESIuprg
    (2024-01-30 10:41:04)
VTT
 Série x repetições x peso</t>
      </text>
    </comment>
    <comment ref="AG96" authorId="0" shapeId="0">
      <text>
        <t>======
ID#AAABESIuqHU
    (2024-01-30 10:41:04)
Inserir tempo total de sessão em minutos</t>
      </text>
    </comment>
    <comment ref="E107" authorId="0" shapeId="0">
      <text>
        <t>======
ID#AAABESIup2I
    (2024-01-30 10:41:04)
Percepção de recuperação de intervalo entre as séries. Inserir valor na célula ao lado direito</t>
      </text>
    </comment>
    <comment ref="J107" authorId="0" shapeId="0">
      <text>
        <t>======
ID#AAABFXW-nYE
    (2024-01-30 10:41:04)
Percepção de recuperação de intervalo entre as séries. Inserir valor na célula ao lado direito</t>
      </text>
    </comment>
    <comment ref="O107" authorId="0" shapeId="0">
      <text>
        <t>======
ID#AAABFXW-m_Y
    (2024-01-30 10:41:03)
Percepção de recuperação de intervalo entre as séries. Inserir valor na célula ao lado direito</t>
      </text>
    </comment>
    <comment ref="T107" authorId="0" shapeId="0">
      <text>
        <t>======
ID#AAABFXW-nAg
    (2024-01-30 10:41:03)
Percepção de recuperação de intervalo entre as séries. Inserir valor na célula ao lado direito</t>
      </text>
    </comment>
    <comment ref="AC107" authorId="0" shapeId="0">
      <text>
        <t>======
ID#AAABFXW-nRY
    (2024-01-30 10:41:04)
PR média obtida de todas as séries</t>
      </text>
    </comment>
    <comment ref="L109" authorId="0" shapeId="0">
      <text>
        <t>======
ID#AAABFXW-m0M
    (2024-01-30 10:41:03)
sono obtido pela escala Hooper</t>
      </text>
    </comment>
    <comment ref="M109" authorId="0" shapeId="0">
      <text>
        <t>======
ID#AAABFXW-nB0
    (2024-01-30 10:41:03)
estresse obtido pela escala Hooper</t>
      </text>
    </comment>
    <comment ref="N109" authorId="0" shapeId="0">
      <text>
        <t>======
ID#AAABFXW-nOc
    (2024-01-30 10:41:04)
fadiga obtida pela escala Hooper</t>
      </text>
    </comment>
    <comment ref="O109" authorId="0" shapeId="0">
      <text>
        <t>======
ID#AAABESIupwE
    (2024-01-30 10:41:04)
fadiga obtida pela escala Hooper</t>
      </text>
    </comment>
    <comment ref="Q109" authorId="0" shapeId="0">
      <text>
        <t>======
ID#AAABFXW-nU0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ID#AAABESIupzg
    (2024-01-30 10:41:04)
Valor em centímetros do Teste de salto vertical obtido pelo aplicativo My Jump</t>
      </text>
    </comment>
    <comment ref="E110" authorId="0" shapeId="0">
      <text>
        <t>======
ID#AAABESIup7g
    (2024-01-30 10:41:04)
Inserir data do treino</t>
      </text>
    </comment>
    <comment ref="A111" authorId="0" shapeId="0">
      <text>
        <t>======
ID#AAABESIup_Y
    (2024-01-30 10:41:04)
Inserir abaixo os exercícios utilizados nesse dia</t>
      </text>
    </comment>
    <comment ref="AA111" authorId="0" shapeId="0">
      <text>
        <t>======
ID#AAABFXW-m8I
    (2024-01-30 10:41:03)
percentual de alteração da velocidade de movimento da série 2 versus série 1</t>
      </text>
    </comment>
    <comment ref="AB111" authorId="0" shapeId="0">
      <text>
        <t>======
ID#AAABFXW-m-4
    (2024-01-30 10:41:03)
percentual de alteração da velocidade de movimento da série 3 versus série 1</t>
      </text>
    </comment>
    <comment ref="AC111" authorId="0" shapeId="0">
      <text>
        <t>======
ID#AAABFXW-mxc
    (2024-01-30 10:41:03)
percentual de alteração da velocidade de movimento da série 4 versus série 1</t>
      </text>
    </comment>
    <comment ref="AD111" authorId="0" shapeId="0">
      <text>
        <t>======
ID#AAABFXW-nCw
    (2024-01-30 10:41:03)
percentual de alteração da velocidade de movimento da série 5 versus série 1</t>
      </text>
    </comment>
    <comment ref="AE111" authorId="0" shapeId="0">
      <text>
        <t>======
ID#AAABFXW-nPI
    (2024-01-30 10:41:04)
Inserir abaixo o valor de PSE da sessão obtida 30 minutos após a sessão de treino</t>
      </text>
    </comment>
    <comment ref="AG111" authorId="0" shapeId="0">
      <text>
        <t>======
ID#AAABESIupww
    (2024-01-30 10:41:04)
Volume total de treino da sessão</t>
      </text>
    </comment>
    <comment ref="AJ111" authorId="0" shapeId="0">
      <text>
        <t>======
ID#AAABFXW-nIM
    (2024-01-30 10:41:04)
Número de s</t>
      </text>
    </comment>
    <comment ref="B112" authorId="0" shapeId="0">
      <text>
        <t>======
ID#AAABFXW-nU4
    (2024-01-30 10:41:04)
coloque as repetições da série</t>
      </text>
    </comment>
    <comment ref="C112" authorId="0" shapeId="0">
      <text>
        <t>======
ID#AAABFXW-nDQ
    (2024-01-30 10:41:04)
coloque o peso usado nessa série</t>
      </text>
    </comment>
    <comment ref="D112" authorId="0" shapeId="0">
      <text>
        <t>======
ID#AAABFXW-nVk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ID#AAABESIup5g
    (2024-01-30 10:41:04)
VTT
 Série x repetições x peso</t>
      </text>
    </comment>
    <comment ref="G112" authorId="0" shapeId="0">
      <text>
        <t>======
ID#AAABFXW-nRw
    (2024-01-30 10:41:04)
coloque as repetições da série</t>
      </text>
    </comment>
    <comment ref="H112" authorId="0" shapeId="0">
      <text>
        <t>======
ID#AAABESIup-I
    (2024-01-30 10:41:04)
coloque o peso usado nessa série</t>
      </text>
    </comment>
    <comment ref="I112" authorId="0" shapeId="0">
      <text>
        <t>======
ID#AAABESIupzQ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ID#AAABFXW-nRI
    (2024-01-30 10:41:04)
VTT
 Série x repetições x peso</t>
      </text>
    </comment>
    <comment ref="L112" authorId="0" shapeId="0">
      <text>
        <t>======
ID#AAABESIupsg
    (2024-01-30 10:41:04)
coloque as repetições da série</t>
      </text>
    </comment>
    <comment ref="M112" authorId="0" shapeId="0">
      <text>
        <t>======
ID#AAABESIupr4
    (2024-01-30 10:41:04)
coloque o peso usado nessa série</t>
      </text>
    </comment>
    <comment ref="N112" authorId="0" shapeId="0">
      <text>
        <t>======
ID#AAABFXW-nPA
    (2024-01-30 10:41:04)
coloque a velocidade média em segundos usada nessa série (soma da ação concêntrica e excêntrica) obtida pelo metrônomo ou acelerômetro</t>
      </text>
    </comment>
    <comment ref="O112" authorId="0" shapeId="0">
      <text>
        <t>======
ID#AAABESIup64
    (2024-01-30 10:41:04)
VTT
 Série x repetições x peso</t>
      </text>
    </comment>
    <comment ref="Q112" authorId="0" shapeId="0">
      <text>
        <t>======
ID#AAABFXW-nB4
    (2024-01-30 10:41:03)
coloque as repetições da série</t>
      </text>
    </comment>
    <comment ref="R112" authorId="0" shapeId="0">
      <text>
        <t>======
ID#AAABFXW-m6g
    (2024-01-30 10:41:03)
coloque o peso usado nessa série</t>
      </text>
    </comment>
    <comment ref="S112" authorId="0" shapeId="0">
      <text>
        <t>======
ID#AAABFXW-nAM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ID#AAABFXW-nAQ
    (2024-01-30 10:41:03)
VTT
 Série x repetições x peso</t>
      </text>
    </comment>
    <comment ref="V112" authorId="0" shapeId="0">
      <text>
        <t>======
ID#AAABESIup_c
    (2024-01-30 10:41:04)
coloque as repetições da série</t>
      </text>
    </comment>
    <comment ref="W112" authorId="0" shapeId="0">
      <text>
        <t>======
ID#AAABESIupus
    (2024-01-30 10:41:04)
coloque o peso usado nessa série</t>
      </text>
    </comment>
    <comment ref="X112" authorId="0" shapeId="0">
      <text>
        <t>======
ID#AAABFXW-m2s
    (2024-01-30 10:41:03)
coloque a velocidade média em segundos usada nessa série (soma da ação concêntrica e excêntrica) obtida pelo metrônomo ou acelerômetro</t>
      </text>
    </comment>
    <comment ref="Y112" authorId="0" shapeId="0">
      <text>
        <t>======
ID#AAABFXW-m04
    (2024-01-30 10:41:03)
VTT
 Série x repetições x peso</t>
      </text>
    </comment>
    <comment ref="AG114" authorId="0" shapeId="0">
      <text>
        <t>======
ID#AAABFXW-nBI
    (2024-01-30 10:41:03)
Inserir tempo total de sessão em minutos</t>
      </text>
    </comment>
    <comment ref="E125" authorId="0" shapeId="0">
      <text>
        <t>======
ID#AAABESIup48
    (2024-01-30 10:41:04)
Percepção de recuperação de intervalo entre as séries. Inserir valor na célula ao lado direito</t>
      </text>
    </comment>
    <comment ref="J125" authorId="0" shapeId="0">
      <text>
        <t>======
ID#AAABFXW-nAw
    (2024-01-30 10:41:03)
Percepção de recuperação de intervalo entre as séries. Inserir valor na célula ao lado direito</t>
      </text>
    </comment>
    <comment ref="O125" authorId="0" shapeId="0">
      <text>
        <t>======
ID#AAABESIuqHI
    (2024-01-30 10:41:04)
Percepção de recuperação de intervalo entre as séries. Inserir valor na célula ao lado direito</t>
      </text>
    </comment>
    <comment ref="T125" authorId="0" shapeId="0">
      <text>
        <t>======
ID#AAABESIup3E
    (2024-01-30 10:41:04)
Percepção de recuperação de intervalo entre as séries. Inserir valor na célula ao lado direito</t>
      </text>
    </comment>
    <comment ref="AC125" authorId="0" shapeId="0">
      <text>
        <t>======
ID#AAABESIuqFk
    (2024-01-30 10:41:04)
PR média obtida de todas as séries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Semana 3: ~75-80%, próximo do treino real. 1-2 reps na reserva.</t>
      </text>
    </comment>
    <comment ref="L1" authorId="0" shapeId="0">
      <text>
        <t>======
ID#AAABESIupwk
    (2024-01-30 10:41:04)
sono obtido pela escala Hooper</t>
      </text>
    </comment>
    <comment ref="M1" authorId="0" shapeId="0">
      <text>
        <t>======
ID#AAABFXW-nH4
    (2024-01-30 10:41:04)
estresse obtido pela escala Hooper</t>
      </text>
    </comment>
    <comment ref="N1" authorId="0" shapeId="0">
      <text>
        <t>======
ID#AAABESIup3Q
    (2024-01-30 10:41:04)
fadiga obtida pela escala Hooper</t>
      </text>
    </comment>
    <comment ref="O1" authorId="0" shapeId="0">
      <text>
        <t>======
ID#AAABESIupsM
    (2024-01-30 10:41:04)
fadiga obtida pela escala Hooper</t>
      </text>
    </comment>
    <comment ref="Q1" authorId="0" shapeId="0">
      <text>
        <t>======
ID#AAABFXW-m4o
    (2024-01-30 10:41:03)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ID#AAABFXW-nWE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ID#AAABFXW-nXw
    (2024-01-30 10:41:04)
Inserir data do treino</t>
      </text>
    </comment>
    <comment ref="A3" authorId="0" shapeId="0">
      <text>
        <t>======
ID#AAABESIupt0
    (2024-01-30 10:41:04)
Inserir abaixo os exercícios utilizados nesse dia</t>
      </text>
    </comment>
    <comment ref="AA3" authorId="0" shapeId="0">
      <text>
        <t>======
ID#AAABESIuqHo
    (2024-01-30 10:41:04)
percentual de alteração da velocidade de movimento da série 2 versus série 1</t>
      </text>
    </comment>
    <comment ref="AB3" authorId="0" shapeId="0">
      <text>
        <t>======
ID#AAABFXW-nNA
    (2024-01-30 10:41:04)
percentual de alteração da velocidade de movimento da série 3 versus série 1</t>
      </text>
    </comment>
    <comment ref="AC3" authorId="0" shapeId="0">
      <text>
        <t>======
ID#AAABFXW-m9g
    (2024-01-30 10:41:03)
percentual de alteração da velocidade de movimento da série 4 versus série 1</t>
      </text>
    </comment>
    <comment ref="AD3" authorId="0" shapeId="0">
      <text>
        <t>======
ID#AAABFXW-nKg
    (2024-01-30 10:41:04)
percentual de alteração da velocidade de movimento da série 5 versus série 1</t>
      </text>
    </comment>
    <comment ref="AE3" authorId="0" shapeId="0">
      <text>
        <t>======
ID#AAABESIup78
    (2024-01-30 10:41:04)
Inserir abaixo o valor de PSE da sessão obtida 30 minutos após a sessão de treino</t>
      </text>
    </comment>
    <comment ref="AG3" authorId="0" shapeId="0">
      <text>
        <t>======
ID#AAABESIuqA4
    (2024-01-30 10:41:04)
Volume total de treino da sessão</t>
      </text>
    </comment>
    <comment ref="AJ3" authorId="0" shapeId="0">
      <text>
        <t>======
ID#AAABESIupzM
    (2024-01-30 10:41:04)
Número de s</t>
      </text>
    </comment>
    <comment ref="B4" authorId="0" shapeId="0">
      <text>
        <t>======
ID#AAABFXW-nSc
    (2024-01-30 10:41:04)
coloque as repetições da série</t>
      </text>
    </comment>
    <comment ref="C4" authorId="0" shapeId="0">
      <text>
        <t>======
ID#AAABESIuqDo
    (2024-01-30 10:41:04)
coloque o peso usado nessa série</t>
      </text>
    </comment>
    <comment ref="D4" authorId="0" shapeId="0">
      <text>
        <t>======
ID#AAABESIuqDg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ID#AAABFXW-m88
    (2024-01-30 10:41:03)
VTT
 Série x repetições x peso</t>
      </text>
    </comment>
    <comment ref="G4" authorId="0" shapeId="0">
      <text>
        <t>======
ID#AAABFXW-nSw
    (2024-01-30 10:41:04)
coloque as repetições da série</t>
      </text>
    </comment>
    <comment ref="H4" authorId="0" shapeId="0">
      <text>
        <t>======
ID#AAABFXW-nLc
    (2024-01-30 10:41:04)
coloque o peso usado nessa série</t>
      </text>
    </comment>
    <comment ref="I4" authorId="0" shapeId="0">
      <text>
        <t>======
ID#AAABFXW-nMI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ID#AAABFXW-nVw
    (2024-01-30 10:41:04)
VTT
 Série x repetições x peso</t>
      </text>
    </comment>
    <comment ref="L4" authorId="0" shapeId="0">
      <text>
        <t>======
ID#AAABESIup1s
    (2024-01-30 10:41:04)
coloque as repetições da série</t>
      </text>
    </comment>
    <comment ref="M4" authorId="0" shapeId="0">
      <text>
        <t>======
ID#AAABFXW-nRQ
    (2024-01-30 10:41:04)
coloque o peso usado nessa série</t>
      </text>
    </comment>
    <comment ref="N4" authorId="0" shapeId="0">
      <text>
        <t>======
ID#AAABESIup-A
    (2024-01-30 10:41:04)
coloque a velocidade média em segundos usada nessa série (soma da ação concêntrica e excêntrica) obtida pelo metrônomo ou acelerômetro</t>
      </text>
    </comment>
    <comment ref="O4" authorId="0" shapeId="0">
      <text>
        <t>======
ID#AAABESIup58
    (2024-01-30 10:41:04)
VTT
 Série x repetições x peso</t>
      </text>
    </comment>
    <comment ref="Q4" authorId="0" shapeId="0">
      <text>
        <t>======
ID#AAABFXW-m5o
    (2024-01-30 10:41:03)
coloque as repetições da série</t>
      </text>
    </comment>
    <comment ref="R4" authorId="0" shapeId="0">
      <text>
        <t>======
ID#AAABESIupt4
    (2024-01-30 10:41:04)
coloque o peso usado nessa série</t>
      </text>
    </comment>
    <comment ref="S4" authorId="0" shapeId="0">
      <text>
        <t>======
ID#AAABFXW-myU
    (2024-01-30 10:41:03)
coloque a velocidade média em segundos usada nessa série (soma da ação concêntrica e excêntrica) obtida pelo metrônomo ou acelerômetro</t>
      </text>
    </comment>
    <comment ref="T4" authorId="0" shapeId="0">
      <text>
        <t>======
ID#AAABFXW-m64
    (2024-01-30 10:41:03)
VTT
 Série x repetições x peso</t>
      </text>
    </comment>
    <comment ref="V4" authorId="0" shapeId="0">
      <text>
        <t>======
ID#AAABESIupqo
    (2024-01-30 10:41:04)
coloque as repetições da série</t>
      </text>
    </comment>
    <comment ref="W4" authorId="0" shapeId="0">
      <text>
        <t>======
ID#AAABFXW-nVg
    (2024-01-30 10:41:04)
coloque o peso usado nessa série</t>
      </text>
    </comment>
    <comment ref="X4" authorId="0" shapeId="0">
      <text>
        <t>======
ID#AAABFXW-mxo
    (2024-01-30 10:41:03)
coloque a velocidade média em segundos usada nessa série (soma da ação concêntrica e excêntrica) obtida pelo metrônomo ou acelerômetro</t>
      </text>
    </comment>
    <comment ref="Y4" authorId="0" shapeId="0">
      <text>
        <t>======
ID#AAABESIuqFE
    (2024-01-30 10:41:04)
VTT
 Série x repetições x peso</t>
      </text>
    </comment>
    <comment ref="AG6" authorId="0" shapeId="0">
      <text>
        <t>======
ID#AAABESIup6k
    (2024-01-30 10:41:04)
Inserir tempo total de sessão em minutos</t>
      </text>
    </comment>
    <comment ref="E17" authorId="0" shapeId="0">
      <text>
        <t>======
ID#AAABESIupvg
    (2024-01-30 10:41:04)
Percepção de recuperação de intervalo entre as séries. Inserir valor na célula ao lado direito</t>
      </text>
    </comment>
    <comment ref="J17" authorId="0" shapeId="0">
      <text>
        <t>======
ID#AAABFXW-nBA
    (2024-01-30 10:41:03)
Percepção de recuperação de intervalo entre as séries. Inserir valor na célula ao lado direito</t>
      </text>
    </comment>
    <comment ref="O17" authorId="0" shapeId="0">
      <text>
        <t>======
ID#AAABFXW-m2Y
    (2024-01-30 10:41:03)
Percepção de recuperação de intervalo entre as séries. Inserir valor na célula ao lado direito</t>
      </text>
    </comment>
    <comment ref="T17" authorId="0" shapeId="0">
      <text>
        <t>======
ID#AAABFXW-m74
    (2024-01-30 10:41:03)
Percepção de recuperação de intervalo entre as séries. Inserir valor na célula ao lado direito</t>
      </text>
    </comment>
    <comment ref="AC17" authorId="0" shapeId="0">
      <text>
        <t>======
ID#AAABFXW-nXQ
    (2024-01-30 10:41:04)
PR média obtida de todas as séries</t>
      </text>
    </comment>
    <comment ref="L19" authorId="0" shapeId="0">
      <text>
        <t>======
ID#AAABESIupy4
    (2024-01-30 10:41:04)
sono obtido pela escala Hooper</t>
      </text>
    </comment>
    <comment ref="M19" authorId="0" shapeId="0">
      <text>
        <t>======
ID#AAABESIup7s
    (2024-01-30 10:41:04)
estresse obtido pela escala Hooper</t>
      </text>
    </comment>
    <comment ref="N19" authorId="0" shapeId="0">
      <text>
        <t>======
ID#AAABESIup1Y
    (2024-01-30 10:41:04)
fadiga obtida pela escala Hooper</t>
      </text>
    </comment>
    <comment ref="O19" authorId="0" shapeId="0">
      <text>
        <t>======
ID#AAABFXW-m6I
    (2024-01-30 10:41:03)
fadiga obtida pela escala Hooper</t>
      </text>
    </comment>
    <comment ref="Q19" authorId="0" shapeId="0">
      <text>
        <t>======
ID#AAABFXW-m6M
    (2024-01-30 10:41:03)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ID#AAABFXW-nEE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ID#AAABFXW-nLE
    (2024-01-30 10:41:04)
Inserir data do treino</t>
      </text>
    </comment>
    <comment ref="A21" authorId="0" shapeId="0">
      <text>
        <t>======
ID#AAABESIup2M
    (2024-01-30 10:41:04)
Inserir abaixo os exercícios utilizados nesse dia</t>
      </text>
    </comment>
    <comment ref="AA21" authorId="0" shapeId="0">
      <text>
        <t>======
ID#AAABFXW-nJY
    (2024-01-30 10:41:04)
percentual de alteração da velocidade de movimento da série 2 versus série 1</t>
      </text>
    </comment>
    <comment ref="AB21" authorId="0" shapeId="0">
      <text>
        <t>======
ID#AAABFXW-nD4
    (2024-01-30 10:41:04)
percentual de alteração da velocidade de movimento da série 3 versus série 1</t>
      </text>
    </comment>
    <comment ref="AC21" authorId="0" shapeId="0">
      <text>
        <t>======
ID#AAABFXW-m2w
    (2024-01-30 10:41:03)
percentual de alteração da velocidade de movimento da série 4 versus série 1</t>
      </text>
    </comment>
    <comment ref="AD21" authorId="0" shapeId="0">
      <text>
        <t>======
ID#AAABFXW-nVM
    (2024-01-30 10:41:04)
percentual de alteração da velocidade de movimento da série 5 versus série 1</t>
      </text>
    </comment>
    <comment ref="AE21" authorId="0" shapeId="0">
      <text>
        <t>======
ID#AAABFXW-m9M
    (2024-01-30 10:41:03)
Inserir abaixo o valor de PSE da sessão obtida 30 minutos após a sessão de treino</t>
      </text>
    </comment>
    <comment ref="AG21" authorId="0" shapeId="0">
      <text>
        <t>======
ID#AAABFXW-m5s
    (2024-01-30 10:41:03)
Volume total de treino da sessão</t>
      </text>
    </comment>
    <comment ref="AJ21" authorId="0" shapeId="0">
      <text>
        <t>======
ID#AAABFXW-myI
    (2024-01-30 10:41:03)
Número de s</t>
      </text>
    </comment>
    <comment ref="B22" authorId="0" shapeId="0">
      <text>
        <t>======
ID#AAABFXW-m1w
    (2024-01-30 10:41:03)
coloque as repetições da série</t>
      </text>
    </comment>
    <comment ref="C22" authorId="0" shapeId="0">
      <text>
        <t>======
ID#AAABESIuqFQ
    (2024-01-30 10:41:04)
coloque o peso usado nessa série</t>
      </text>
    </comment>
    <comment ref="D22" authorId="0" shapeId="0">
      <text>
        <t>======
ID#AAABFXW-nBs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ID#AAABFXW-nKs
    (2024-01-30 10:41:04)
VTT
 Série x repetições x peso</t>
      </text>
    </comment>
    <comment ref="G22" authorId="0" shapeId="0">
      <text>
        <t>======
ID#AAABFXW-m9E
    (2024-01-30 10:41:03)
coloque as repetições da série</t>
      </text>
    </comment>
    <comment ref="H22" authorId="0" shapeId="0">
      <text>
        <t>======
ID#AAABESIuqCY
    (2024-01-30 10:41:04)
coloque o peso usado nessa série</t>
      </text>
    </comment>
    <comment ref="I22" authorId="0" shapeId="0">
      <text>
        <t>======
ID#AAABFXW-m0w
    (2024-01-30 10:41:03)
coloque a velocidade média em segundos usada nessa série (soma da ação concêntrica e excêntrica) obtida pelo metrônomo ou acelerômetro</t>
      </text>
    </comment>
    <comment ref="J22" authorId="0" shapeId="0">
      <text>
        <t>======
ID#AAABESIupyY
    (2024-01-30 10:41:04)
VTT
 Série x repetições x peso</t>
      </text>
    </comment>
    <comment ref="L22" authorId="0" shapeId="0">
      <text>
        <t>======
ID#AAABFXW-mxE
    (2024-01-30 10:41:03)
coloque as repetições da série</t>
      </text>
    </comment>
    <comment ref="M22" authorId="0" shapeId="0">
      <text>
        <t>======
ID#AAABESIupsw
    (2024-01-30 10:41:04)
coloque o peso usado nessa série</t>
      </text>
    </comment>
    <comment ref="N22" authorId="0" shapeId="0">
      <text>
        <t>======
ID#AAABFXW-nXY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ID#AAABFXW-nVo
    (2024-01-30 10:41:04)
VTT
 Série x repetições x peso</t>
      </text>
    </comment>
    <comment ref="Q22" authorId="0" shapeId="0">
      <text>
        <t>======
ID#AAABFXW-nHg
    (2024-01-30 10:41:04)
coloque as repetições da série</t>
      </text>
    </comment>
    <comment ref="R22" authorId="0" shapeId="0">
      <text>
        <t>======
ID#AAABFXW-nFs
    (2024-01-30 10:41:04)
coloque o peso usado nessa série</t>
      </text>
    </comment>
    <comment ref="S22" authorId="0" shapeId="0">
      <text>
        <t>======
ID#AAABESIupvs
    (2024-01-30 10:41:04)
coloque a velocidade média em segundos usada nessa série (soma da ação concêntrica e excêntrica) obtida pelo metrônomo ou acelerômetro</t>
      </text>
    </comment>
    <comment ref="T22" authorId="0" shapeId="0">
      <text>
        <t>======
ID#AAABFXW-nA0
    (2024-01-30 10:41:03)
VTT
 Série x repetições x peso</t>
      </text>
    </comment>
    <comment ref="V22" authorId="0" shapeId="0">
      <text>
        <t>======
ID#AAABESIuqAU
    (2024-01-30 10:41:04)
coloque as repetições da série</t>
      </text>
    </comment>
    <comment ref="W22" authorId="0" shapeId="0">
      <text>
        <t>======
ID#AAABFXW-nPw
    (2024-01-30 10:41:04)
coloque o peso usado nessa série</t>
      </text>
    </comment>
    <comment ref="X22" authorId="0" shapeId="0">
      <text>
        <t>======
ID#AAABESIup3s
    (2024-01-30 10:41:04)
coloque a velocidade média em segundos usada nessa série (soma da ação concêntrica e excêntrica) obtida pelo metrônomo ou acelerômetro</t>
      </text>
    </comment>
    <comment ref="Y22" authorId="0" shapeId="0">
      <text>
        <t>======
ID#AAABESIupuQ
    (2024-01-30 10:41:04)
VTT
 Série x repetições x peso</t>
      </text>
    </comment>
    <comment ref="AG24" authorId="0" shapeId="0">
      <text>
        <t>======
ID#AAABFXW-nQI
    (2024-01-30 10:41:04)
Inserir tempo total de sessão em minutos</t>
      </text>
    </comment>
    <comment ref="E35" authorId="0" shapeId="0">
      <text>
        <t>======
ID#AAABESIup-4
    (2024-01-30 10:41:04)
Percepção de recuperação de intervalo entre as séries. Inserir valor na célula ao lado direito</t>
      </text>
    </comment>
    <comment ref="J35" authorId="0" shapeId="0">
      <text>
        <t>======
ID#AAABESIupqQ
    (2024-01-30 10:41:04)
Percepção de recuperação de intervalo entre as séries. Inserir valor na célula ao lado direito</t>
      </text>
    </comment>
    <comment ref="O35" authorId="0" shapeId="0">
      <text>
        <t>======
ID#AAABFXW-m8o
    (2024-01-30 10:41:03)
Percepção de recuperação de intervalo entre as séries. Inserir valor na célula ao lado direito</t>
      </text>
    </comment>
    <comment ref="T35" authorId="0" shapeId="0">
      <text>
        <t>======
ID#AAABFXW-nGU
    (2024-01-30 10:41:04)
Percepção de recuperação de intervalo entre as séries. Inserir valor na célula ao lado direito</t>
      </text>
    </comment>
    <comment ref="AC35" authorId="0" shapeId="0">
      <text>
        <t>======
ID#AAABFXW-nO0
    (2024-01-30 10:41:04)
PR média obtida de todas as séries</t>
      </text>
    </comment>
    <comment ref="L37" authorId="0" shapeId="0">
      <text>
        <t>======
ID#AAABESIuqEY
    (2024-01-30 10:41:04)
sono obtido pela escala Hooper</t>
      </text>
    </comment>
    <comment ref="M37" authorId="0" shapeId="0">
      <text>
        <t>======
ID#AAABFXW-nGk
    (2024-01-30 10:41:04)
estresse obtido pela escala Hooper</t>
      </text>
    </comment>
    <comment ref="N37" authorId="0" shapeId="0">
      <text>
        <t>======
ID#AAABESIupyQ
    (2024-01-30 10:41:04)
fadiga obtida pela escala Hooper</t>
      </text>
    </comment>
    <comment ref="O37" authorId="0" shapeId="0">
      <text>
        <t>======
ID#AAABESIup90
    (2024-01-30 10:41:04)
fadiga obtida pela escala Hooper</t>
      </text>
    </comment>
    <comment ref="Q37" authorId="0" shapeId="0">
      <text>
        <t>======
ID#AAABFXW-m8g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ID#AAABFXW-nV0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ID#AAABFXW-nG4
    (2024-01-30 10:41:04)
Inserir data do treino</t>
      </text>
    </comment>
    <comment ref="A39" authorId="0" shapeId="0">
      <text>
        <t>======
ID#AAABFXW-nQw
    (2024-01-30 10:41:04)
Inserir abaixo os exercícios utilizados nesse dia</t>
      </text>
    </comment>
    <comment ref="AA39" authorId="0" shapeId="0">
      <text>
        <t>======
ID#AAABFXW-nQY
    (2024-01-30 10:41:04)
percentual de alteração da velocidade de movimento da série 2 versus série 1</t>
      </text>
    </comment>
    <comment ref="AB39" authorId="0" shapeId="0">
      <text>
        <t>======
ID#AAABFXW-m8Q
    (2024-01-30 10:41:03)
percentual de alteração da velocidade de movimento da série 3 versus série 1</t>
      </text>
    </comment>
    <comment ref="AC39" authorId="0" shapeId="0">
      <text>
        <t>======
ID#AAABFXW-m_c
    (2024-01-30 10:41:03)
percentual de alteração da velocidade de movimento da série 4 versus série 1</t>
      </text>
    </comment>
    <comment ref="AD39" authorId="0" shapeId="0">
      <text>
        <t>======
ID#AAABFXW-mwU
    (2024-01-30 10:41:03)
percentual de alteração da velocidade de movimento da série 5 versus série 1</t>
      </text>
    </comment>
    <comment ref="AE39" authorId="0" shapeId="0">
      <text>
        <t>======
ID#AAABESIuqGc
    (2024-01-30 10:41:04)
Inserir abaixo o valor de PSE da sessão obtida 30 minutos após a sessão de treino</t>
      </text>
    </comment>
    <comment ref="AG39" authorId="0" shapeId="0">
      <text>
        <t>======
ID#AAABESIup38
    (2024-01-30 10:41:04)
Volume total de treino da sessão</t>
      </text>
    </comment>
    <comment ref="AJ39" authorId="0" shapeId="0">
      <text>
        <t>======
ID#AAABESIup0M
    (2024-01-30 10:41:04)
Número de s</t>
      </text>
    </comment>
    <comment ref="B40" authorId="0" shapeId="0">
      <text>
        <t>======
ID#AAABFXW-mxg
    (2024-01-30 10:41:03)
coloque as repetições da série</t>
      </text>
    </comment>
    <comment ref="C40" authorId="0" shapeId="0">
      <text>
        <t>======
ID#AAABESIupxc
    (2024-01-30 10:41:04)
coloque o peso usado nessa série</t>
      </text>
    </comment>
    <comment ref="D40" authorId="0" shapeId="0">
      <text>
        <t>======
ID#AAABESIuqF4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ID#AAABESIuqHc
    (2024-01-30 10:41:04)
VTT
 Série x repetições x peso</t>
      </text>
    </comment>
    <comment ref="G40" authorId="0" shapeId="0">
      <text>
        <t>======
ID#AAABESIup8A
    (2024-01-30 10:41:04)
coloque as repetições da série</t>
      </text>
    </comment>
    <comment ref="H40" authorId="0" shapeId="0">
      <text>
        <t>======
ID#AAABESIupuk
    (2024-01-30 10:41:04)
coloque o peso usado nessa série</t>
      </text>
    </comment>
    <comment ref="I40" authorId="0" shapeId="0">
      <text>
        <t>======
ID#AAABFXW-nJ0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ID#AAABFXW-nTw
    (2024-01-30 10:41:04)
VTT
 Série x repetições x peso</t>
      </text>
    </comment>
    <comment ref="L40" authorId="0" shapeId="0">
      <text>
        <t>======
ID#AAABESIupz8
    (2024-01-30 10:41:04)
coloque as repetições da série</t>
      </text>
    </comment>
    <comment ref="M40" authorId="0" shapeId="0">
      <text>
        <t>======
ID#AAABFXW-nQc
    (2024-01-30 10:41:04)
coloque o peso usado nessa série</t>
      </text>
    </comment>
    <comment ref="N40" authorId="0" shapeId="0">
      <text>
        <t>======
ID#AAABFXW-nIE
    (2024-01-30 10:41:04)
coloque a velocidade média em segundos usada nessa série (soma da ação concêntrica e excêntrica) obtida pelo metrônomo ou acelerômetro</t>
      </text>
    </comment>
    <comment ref="O40" authorId="0" shapeId="0">
      <text>
        <t>======
ID#AAABESIup7Y
    (2024-01-30 10:41:04)
VTT
 Série x repetições x peso</t>
      </text>
    </comment>
    <comment ref="Q40" authorId="0" shapeId="0">
      <text>
        <t>======
ID#AAABESIup1E
    (2024-01-30 10:41:04)
coloque as repetições da série</t>
      </text>
    </comment>
    <comment ref="R40" authorId="0" shapeId="0">
      <text>
        <t>======
ID#AAABFXW-nDs
    (2024-01-30 10:41:04)
coloque o peso usado nessa série</t>
      </text>
    </comment>
    <comment ref="S40" authorId="0" shapeId="0">
      <text>
        <t>======
ID#AAABESIuqBo
    (2024-01-30 10:41:04)
coloque a velocidade média em segundos usada nessa série (soma da ação concêntrica e excêntrica) obtida pelo metrônomo ou acelerômetro</t>
      </text>
    </comment>
    <comment ref="T40" authorId="0" shapeId="0">
      <text>
        <t>======
ID#AAABESIupwY
    (2024-01-30 10:41:04)
VTT
 Série x repetições x peso</t>
      </text>
    </comment>
    <comment ref="V40" authorId="0" shapeId="0">
      <text>
        <t>======
ID#AAABFXW-nGg
    (2024-01-30 10:41:04)
coloque as repetições da série</t>
      </text>
    </comment>
    <comment ref="W40" authorId="0" shapeId="0">
      <text>
        <t>======
ID#AAABFXW-m1U
    (2024-01-30 10:41:03)
coloque o peso usado nessa série</t>
      </text>
    </comment>
    <comment ref="X40" authorId="0" shapeId="0">
      <text>
        <t>======
ID#AAABESIupqE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ID#AAABFXW-nQM
    (2024-01-30 10:41:04)
VTT
 Série x repetições x peso</t>
      </text>
    </comment>
    <comment ref="AG42" authorId="0" shapeId="0">
      <text>
        <t>======
ID#AAABESIup9c
    (2024-01-30 10:41:04)
Inserir tempo total de sessão em minutos</t>
      </text>
    </comment>
    <comment ref="E53" authorId="0" shapeId="0">
      <text>
        <t>======
ID#AAABFXW-m-A
    (2024-01-30 10:41:03)
Percepção de recuperação de intervalo entre as séries. Inserir valor na célula ao lado direito</t>
      </text>
    </comment>
    <comment ref="J53" authorId="0" shapeId="0">
      <text>
        <t>======
ID#AAABESIuprQ
    (2024-01-30 10:41:04)
Percepção de recuperação de intervalo entre as séries. Inserir valor na célula ao lado direito</t>
      </text>
    </comment>
    <comment ref="O53" authorId="0" shapeId="0">
      <text>
        <t>======
ID#AAABESIupz4
    (2024-01-30 10:41:04)
Percepção de recuperação de intervalo entre as séries. Inserir valor na célula ao lado direito</t>
      </text>
    </comment>
    <comment ref="T53" authorId="0" shapeId="0">
      <text>
        <t>======
ID#AAABFXW-mwE
    (2024-01-30 10:41:03)
Percepção de recuperação de intervalo entre as séries. Inserir valor na célula ao lado direito</t>
      </text>
    </comment>
    <comment ref="AC53" authorId="0" shapeId="0">
      <text>
        <t>======
ID#AAABFXW-nT8
    (2024-01-30 10:41:04)
PR média obtida de todas as séries</t>
      </text>
    </comment>
    <comment ref="L55" authorId="0" shapeId="0">
      <text>
        <t>======
ID#AAABFXW-mw4
    (2024-01-30 10:41:03)
sono obtido pela escala Hooper</t>
      </text>
    </comment>
    <comment ref="M55" authorId="0" shapeId="0">
      <text>
        <t>======
ID#AAABFXW-nS4
    (2024-01-30 10:41:04)
estresse obtido pela escala Hooper</t>
      </text>
    </comment>
    <comment ref="N55" authorId="0" shapeId="0">
      <text>
        <t>======
ID#AAABESIupqI
    (2024-01-30 10:41:04)
fadiga obtida pela escala Hooper</t>
      </text>
    </comment>
    <comment ref="O55" authorId="0" shapeId="0">
      <text>
        <t>======
ID#AAABESIup2Q
    (2024-01-30 10:41:04)
fadiga obtida pela escala Hooper</t>
      </text>
    </comment>
    <comment ref="Q55" authorId="0" shapeId="0">
      <text>
        <t>======
ID#AAABESIupuo
    (2024-01-30 10:41:04)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ID#AAABFXW-m5I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ID#AAABESIuqBM
    (2024-01-30 10:41:04)
Inserir data do treino</t>
      </text>
    </comment>
    <comment ref="A57" authorId="0" shapeId="0">
      <text>
        <t>======
ID#AAABESIup5s
    (2024-01-30 10:41:04)
Inserir abaixo os exercícios utilizados nesse dia</t>
      </text>
    </comment>
    <comment ref="AA57" authorId="0" shapeId="0">
      <text>
        <t>======
ID#AAABFXW-mxY
    (2024-01-30 10:41:03)
percentual de alteração da velocidade de movimento da série 2 versus série 1</t>
      </text>
    </comment>
    <comment ref="AB57" authorId="0" shapeId="0">
      <text>
        <t>======
ID#AAABFXW-m3E
    (2024-01-30 10:41:03)
percentual de alteração da velocidade de movimento da série 3 versus série 1</t>
      </text>
    </comment>
    <comment ref="AC57" authorId="0" shapeId="0">
      <text>
        <t>======
ID#AAABESIuqEw
    (2024-01-30 10:41:04)
percentual de alteração da velocidade de movimento da série 4 versus série 1</t>
      </text>
    </comment>
    <comment ref="AD57" authorId="0" shapeId="0">
      <text>
        <t>======
ID#AAABESIuqFI
    (2024-01-30 10:41:04)
percentual de alteração da velocidade de movimento da série 5 versus série 1</t>
      </text>
    </comment>
    <comment ref="AE57" authorId="0" shapeId="0">
      <text>
        <t>======
ID#AAABFXW-m_g
    (2024-01-30 10:41:03)
Inserir abaixo o valor de PSE da sessão obtida 30 minutos após a sessão de treino</t>
      </text>
    </comment>
    <comment ref="AG57" authorId="0" shapeId="0">
      <text>
        <t>======
ID#AAABESIupzw
    (2024-01-30 10:41:04)
Volume total de treino da sessão</t>
      </text>
    </comment>
    <comment ref="AJ57" authorId="0" shapeId="0">
      <text>
        <t>======
ID#AAABFXW-nYo
    (2024-01-30 10:41:04)
Número de s</t>
      </text>
    </comment>
    <comment ref="B58" authorId="0" shapeId="0">
      <text>
        <t>======
ID#AAABESIuqEA
    (2024-01-30 10:41:04)
coloque as repetições da série</t>
      </text>
    </comment>
    <comment ref="C58" authorId="0" shapeId="0">
      <text>
        <t>======
ID#AAABFXW-nOY
    (2024-01-30 10:41:04)
coloque o peso usado nessa série</t>
      </text>
    </comment>
    <comment ref="D58" authorId="0" shapeId="0">
      <text>
        <t>======
ID#AAABFXW-nQQ
    (2024-01-30 10:41:04)
coloque a velocidade média em segundos usada nessa série (soma da ação concêntrica e excêntrica) obtida pelo metrônomo ou acelerômetro</t>
      </text>
    </comment>
    <comment ref="E58" authorId="0" shapeId="0">
      <text>
        <t>======
ID#AAABFXW-nWw
    (2024-01-30 10:41:04)
VTT
 Série x repetições x peso</t>
      </text>
    </comment>
    <comment ref="G58" authorId="0" shapeId="0">
      <text>
        <t>======
ID#AAABESIupzY
    (2024-01-30 10:41:04)
coloque as repetições da série</t>
      </text>
    </comment>
    <comment ref="H58" authorId="0" shapeId="0">
      <text>
        <t>======
ID#AAABFXW-nNY
    (2024-01-30 10:41:04)
coloque o peso usado nessa série</t>
      </text>
    </comment>
    <comment ref="I58" authorId="0" shapeId="0">
      <text>
        <t>======
ID#AAABFXW-nDg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ID#AAABESIupyA
    (2024-01-30 10:41:04)
VTT
 Série x repetições x peso</t>
      </text>
    </comment>
    <comment ref="L58" authorId="0" shapeId="0">
      <text>
        <t>======
ID#AAABFXW-nNg
    (2024-01-30 10:41:04)
coloque as repetições da série</t>
      </text>
    </comment>
    <comment ref="M58" authorId="0" shapeId="0">
      <text>
        <t>======
ID#AAABFXW-mxM
    (2024-01-30 10:41:03)
coloque o peso usado nessa série</t>
      </text>
    </comment>
    <comment ref="N58" authorId="0" shapeId="0">
      <text>
        <t>======
ID#AAABESIup7M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ID#AAABFXW-mw0
    (2024-01-30 10:41:03)
VTT
 Série x repetições x peso</t>
      </text>
    </comment>
    <comment ref="Q58" authorId="0" shapeId="0">
      <text>
        <t>======
ID#AAABESIuqIo
    (2024-01-30 10:41:04)
coloque as repetições da série</t>
      </text>
    </comment>
    <comment ref="R58" authorId="0" shapeId="0">
      <text>
        <t>======
ID#AAABFXW-m5c
    (2024-01-30 10:41:03)
coloque o peso usado nessa série</t>
      </text>
    </comment>
    <comment ref="S58" authorId="0" shapeId="0">
      <text>
        <t>======
ID#AAABFXW-nMY
    (2024-01-30 10:41:04)
coloque a velocidade média em segundos usada nessa série (soma da ação concêntrica e excêntrica) obtida pelo metrônomo ou acelerômetro</t>
      </text>
    </comment>
    <comment ref="T58" authorId="0" shapeId="0">
      <text>
        <t>======
ID#AAABESIuqEQ
    (2024-01-30 10:41:04)
VTT
 Série x repetições x peso</t>
      </text>
    </comment>
    <comment ref="V58" authorId="0" shapeId="0">
      <text>
        <t>======
ID#AAABFXW-mzA
    (2024-01-30 10:41:03)
coloque as repetições da série</t>
      </text>
    </comment>
    <comment ref="W58" authorId="0" shapeId="0">
      <text>
        <t>======
ID#AAABESIup7U
    (2024-01-30 10:41:04)
coloque o peso usado nessa série</t>
      </text>
    </comment>
    <comment ref="X58" authorId="0" shapeId="0">
      <text>
        <t>======
ID#AAABESIupwc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ID#AAABESIup0o
    (2024-01-30 10:41:04)
VTT
 Série x repetições x peso</t>
      </text>
    </comment>
    <comment ref="AG60" authorId="0" shapeId="0">
      <text>
        <t>======
ID#AAABESIuqGg
    (2024-01-30 10:41:04)
Inserir tempo total de sessão em minutos</t>
      </text>
    </comment>
    <comment ref="E71" authorId="0" shapeId="0">
      <text>
        <t>======
ID#AAABFXW-m9w
    (2024-01-30 10:41:03)
Percepção de recuperação de intervalo entre as séries. Inserir valor na célula ao lado direito</t>
      </text>
    </comment>
    <comment ref="J71" authorId="0" shapeId="0">
      <text>
        <t>======
ID#AAABFXW-m-U
    (2024-01-30 10:41:03)
Percepção de recuperação de intervalo entre as séries. Inserir valor na célula ao lado direito</t>
      </text>
    </comment>
    <comment ref="O71" authorId="0" shapeId="0">
      <text>
        <t>======
ID#AAABESIup9g
    (2024-01-30 10:41:04)
Percepção de recuperação de intervalo entre as séries. Inserir valor na célula ao lado direito</t>
      </text>
    </comment>
    <comment ref="T71" authorId="0" shapeId="0">
      <text>
        <t>======
ID#AAABFXW-nRs
    (2024-01-30 10:41:04)
Percepção de recuperação de intervalo entre as séries. Inserir valor na célula ao lado direito</t>
      </text>
    </comment>
    <comment ref="AC71" authorId="0" shapeId="0">
      <text>
        <t>======
ID#AAABESIupyc
    (2024-01-30 10:41:04)
PR média obtida de todas as séries</t>
      </text>
    </comment>
    <comment ref="L73" authorId="0" shapeId="0">
      <text>
        <t>======
ID#AAABESIuprE
    (2024-01-30 10:41:04)
sono obtido pela escala Hooper</t>
      </text>
    </comment>
    <comment ref="M73" authorId="0" shapeId="0">
      <text>
        <t>======
ID#AAABESIup8Q
    (2024-01-30 10:41:04)
estresse obtido pela escala Hooper</t>
      </text>
    </comment>
    <comment ref="N73" authorId="0" shapeId="0">
      <text>
        <t>======
ID#AAABESIup6c
    (2024-01-30 10:41:04)
fadiga obtida pela escala Hooper</t>
      </text>
    </comment>
    <comment ref="O73" authorId="0" shapeId="0">
      <text>
        <t>======
ID#AAABESIups8
    (2024-01-30 10:41:04)
fadiga obtida pela escala Hooper</t>
      </text>
    </comment>
    <comment ref="Q73" authorId="0" shapeId="0">
      <text>
        <t>======
ID#AAABESIup9M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ID#AAABESIup8c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ID#AAABESIuqAE
    (2024-01-30 10:41:04)
Inserir data do treino</t>
      </text>
    </comment>
    <comment ref="A75" authorId="0" shapeId="0">
      <text>
        <t>======
ID#AAABESIupt8
    (2024-01-30 10:41:04)
Inserir abaixo os exercícios utilizados nesse dia</t>
      </text>
    </comment>
    <comment ref="AA75" authorId="0" shapeId="0">
      <text>
        <t>======
ID#AAABFXW-nPY
    (2024-01-30 10:41:04)
percentual de alteração da velocidade de movimento da série 2 versus série 1</t>
      </text>
    </comment>
    <comment ref="AB75" authorId="0" shapeId="0">
      <text>
        <t>======
ID#AAABESIup5w
    (2024-01-30 10:41:04)
percentual de alteração da velocidade de movimento da série 3 versus série 1</t>
      </text>
    </comment>
    <comment ref="AC75" authorId="0" shapeId="0">
      <text>
        <t>======
ID#AAABESIupsQ
    (2024-01-30 10:41:04)
percentual de alteração da velocidade de movimento da série 4 versus série 1</t>
      </text>
    </comment>
    <comment ref="AD75" authorId="0" shapeId="0">
      <text>
        <t>======
ID#AAABFXW-mzE
    (2024-01-30 10:41:03)
percentual de alteração da velocidade de movimento da série 5 versus série 1</t>
      </text>
    </comment>
    <comment ref="AE75" authorId="0" shapeId="0">
      <text>
        <t>======
ID#AAABESIupxg
    (2024-01-30 10:41:04)
Inserir abaixo o valor de PSE da sessão obtida 30 minutos após a sessão de treino</t>
      </text>
    </comment>
    <comment ref="AG75" authorId="0" shapeId="0">
      <text>
        <t>======
ID#AAABESIuqGI
    (2024-01-30 10:41:04)
Volume total de treino da sessão</t>
      </text>
    </comment>
    <comment ref="AJ75" authorId="0" shapeId="0">
      <text>
        <t>======
ID#AAABFXW-nYI
    (2024-01-30 10:41:04)
Número de s</t>
      </text>
    </comment>
    <comment ref="B76" authorId="0" shapeId="0">
      <text>
        <t>======
ID#AAABESIuqFY
    (2024-01-30 10:41:04)
coloque as repetições da série</t>
      </text>
    </comment>
    <comment ref="C76" authorId="0" shapeId="0">
      <text>
        <t>======
ID#AAABFXW-nXc
    (2024-01-30 10:41:04)
coloque o peso usado nessa série</t>
      </text>
    </comment>
    <comment ref="D76" authorId="0" shapeId="0">
      <text>
        <t>======
ID#AAABESIupwg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ID#AAABFXW-nMM
    (2024-01-30 10:41:04)
VTT
 Série x repetições x peso</t>
      </text>
    </comment>
    <comment ref="G76" authorId="0" shapeId="0">
      <text>
        <t>======
ID#AAABESIuqBg
    (2024-01-30 10:41:04)
coloque as repetições da série</t>
      </text>
    </comment>
    <comment ref="H76" authorId="0" shapeId="0">
      <text>
        <t>======
ID#AAABFXW-nWY
    (2024-01-30 10:41:04)
coloque o peso usado nessa série</t>
      </text>
    </comment>
    <comment ref="I76" authorId="0" shapeId="0">
      <text>
        <t>======
ID#AAABESIup2k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ID#AAABESIuqE8
    (2024-01-30 10:41:04)
VTT
 Série x repetições x peso</t>
      </text>
    </comment>
    <comment ref="L76" authorId="0" shapeId="0">
      <text>
        <t>======
ID#AAABFXW-nP4
    (2024-01-30 10:41:04)
coloque as repetições da série</t>
      </text>
    </comment>
    <comment ref="M76" authorId="0" shapeId="0">
      <text>
        <t>======
ID#AAABFXW-m5M
    (2024-01-30 10:41:03)
coloque o peso usado nessa série</t>
      </text>
    </comment>
    <comment ref="N76" authorId="0" shapeId="0">
      <text>
        <t>======
ID#AAABFXW-nE0
    (2024-01-30 10:41:04)
coloque a velocidade média em segundos usada nessa série (soma da ação concêntrica e excêntrica) obtida pelo metrônomo ou acelerômetro</t>
      </text>
    </comment>
    <comment ref="O76" authorId="0" shapeId="0">
      <text>
        <t>======
ID#AAABESIuqFA
    (2024-01-30 10:41:04)
VTT
 Série x repetições x peso</t>
      </text>
    </comment>
    <comment ref="Q76" authorId="0" shapeId="0">
      <text>
        <t>======
ID#AAABESIuqIU
    (2024-01-30 10:41:04)
coloque as repetições da série</t>
      </text>
    </comment>
    <comment ref="R76" authorId="0" shapeId="0">
      <text>
        <t>======
ID#AAABFXW-m-k
    (2024-01-30 10:41:03)
coloque o peso usado nessa série</t>
      </text>
    </comment>
    <comment ref="S76" authorId="0" shapeId="0">
      <text>
        <t>======
ID#AAABESIup-g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ID#AAABESIuqAc
    (2024-01-30 10:41:04)
VTT
 Série x repetições x peso</t>
      </text>
    </comment>
    <comment ref="V76" authorId="0" shapeId="0">
      <text>
        <t>======
ID#AAABFXW-nIc
    (2024-01-30 10:41:04)
coloque as repetições da série</t>
      </text>
    </comment>
    <comment ref="W76" authorId="0" shapeId="0">
      <text>
        <t>======
ID#AAABFXW-m3M
    (2024-01-30 10:41:03)
coloque o peso usado nessa série</t>
      </text>
    </comment>
    <comment ref="X76" authorId="0" shapeId="0">
      <text>
        <t>======
ID#AAABESIup08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ID#AAABESIup9Y
    (2024-01-30 10:41:04)
VTT
 Série x repetições x peso</t>
      </text>
    </comment>
    <comment ref="AG78" authorId="0" shapeId="0">
      <text>
        <t>======
ID#AAABFXW-nXI
    (2024-01-30 10:41:04)
Inserir tempo total de sessão em minutos</t>
      </text>
    </comment>
    <comment ref="E89" authorId="0" shapeId="0">
      <text>
        <t>======
ID#AAABESIupyk
    (2024-01-30 10:41:04)
Percepção de recuperação de intervalo entre as séries. Inserir valor na célula ao lado direito</t>
      </text>
    </comment>
    <comment ref="J89" authorId="0" shapeId="0">
      <text>
        <t>======
ID#AAABESIup4Q
    (2024-01-30 10:41:04)
Percepção de recuperação de intervalo entre as séries. Inserir valor na célula ao lado direito</t>
      </text>
    </comment>
    <comment ref="O89" authorId="0" shapeId="0">
      <text>
        <t>======
ID#AAABFXW-m4w
    (2024-01-30 10:41:03)
Percepção de recuperação de intervalo entre as séries. Inserir valor na célula ao lado direito</t>
      </text>
    </comment>
    <comment ref="T89" authorId="0" shapeId="0">
      <text>
        <t>======
ID#AAABFXW-myo
    (2024-01-30 10:41:03)
Percepção de recuperação de intervalo entre as séries. Inserir valor na célula ao lado direito</t>
      </text>
    </comment>
    <comment ref="AC89" authorId="0" shapeId="0">
      <text>
        <t>======
ID#AAABFXW-nGM
    (2024-01-30 10:41:04)
PR média obtida de todas as séries</t>
      </text>
    </comment>
    <comment ref="L91" authorId="0" shapeId="0">
      <text>
        <t>======
ID#AAABESIuqCo
    (2024-01-30 10:41:04)
sono obtido pela escala Hooper</t>
      </text>
    </comment>
    <comment ref="M91" authorId="0" shapeId="0">
      <text>
        <t>======
ID#AAABFXW-nUA
    (2024-01-30 10:41:04)
estresse obtido pela escala Hooper</t>
      </text>
    </comment>
    <comment ref="N91" authorId="0" shapeId="0">
      <text>
        <t>======
ID#AAABESIup7Q
    (2024-01-30 10:41:04)
fadiga obtida pela escala Hooper</t>
      </text>
    </comment>
    <comment ref="O91" authorId="0" shapeId="0">
      <text>
        <t>======
ID#AAABFXW-nAI
    (2024-01-30 10:41:03)
fadiga obtida pela escala Hooper</t>
      </text>
    </comment>
    <comment ref="Q91" authorId="0" shapeId="0">
      <text>
        <t>======
ID#AAABFXW-nGQ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ID#AAABFXW-nN8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ID#AAABFXW-nKI
    (2024-01-30 10:41:04)
Inserir data do treino</t>
      </text>
    </comment>
    <comment ref="A93" authorId="0" shapeId="0">
      <text>
        <t>======
ID#AAABESIup74
    (2024-01-30 10:41:04)
Inserir abaixo os exercícios utilizados nesse dia</t>
      </text>
    </comment>
    <comment ref="AA93" authorId="0" shapeId="0">
      <text>
        <t>======
ID#AAABFXW-m1E
    (2024-01-30 10:41:03)
percentual de alteração da velocidade de movimento da série 2 versus série 1</t>
      </text>
    </comment>
    <comment ref="AB93" authorId="0" shapeId="0">
      <text>
        <t>======
ID#AAABESIuqFo
    (2024-01-30 10:41:04)
percentual de alteração da velocidade de movimento da série 3 versus série 1</t>
      </text>
    </comment>
    <comment ref="AC93" authorId="0" shapeId="0">
      <text>
        <t>======
ID#AAABESIupso
    (2024-01-30 10:41:04)
percentual de alteração da velocidade de movimento da série 4 versus série 1</t>
      </text>
    </comment>
    <comment ref="AD93" authorId="0" shapeId="0">
      <text>
        <t>======
ID#AAABFXW-m-E
    (2024-01-30 10:41:03)
percentual de alteração da velocidade de movimento da série 5 versus série 1</t>
      </text>
    </comment>
    <comment ref="AE93" authorId="0" shapeId="0">
      <text>
        <t>======
ID#AAABFXW-m0E
    (2024-01-30 10:41:03)
Inserir abaixo o valor de PSE da sessão obtida 30 minutos após a sessão de treino</t>
      </text>
    </comment>
    <comment ref="AG93" authorId="0" shapeId="0">
      <text>
        <t>======
ID#AAABFXW-nIU
    (2024-01-30 10:41:04)
Volume total de treino da sessão</t>
      </text>
    </comment>
    <comment ref="AJ93" authorId="0" shapeId="0">
      <text>
        <t>======
ID#AAABFXW-m5g
    (2024-01-30 10:41:03)
Número de s</t>
      </text>
    </comment>
    <comment ref="B94" authorId="0" shapeId="0">
      <text>
        <t>======
ID#AAABFXW-m9o
    (2024-01-30 10:41:03)
coloque as repetições da série</t>
      </text>
    </comment>
    <comment ref="C94" authorId="0" shapeId="0">
      <text>
        <t>======
ID#AAABFXW-nTU
    (2024-01-30 10:41:04)
coloque o peso usado nessa série</t>
      </text>
    </comment>
    <comment ref="D94" authorId="0" shapeId="0">
      <text>
        <t>======
ID#AAABESIuqIs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ID#AAABFXW-nS8
    (2024-01-30 10:41:04)
VTT
 Série x repetições x peso</t>
      </text>
    </comment>
    <comment ref="G94" authorId="0" shapeId="0">
      <text>
        <t>======
ID#AAABFXW-nYM
    (2024-01-30 10:41:04)
coloque as repetições da série</t>
      </text>
    </comment>
    <comment ref="H94" authorId="0" shapeId="0">
      <text>
        <t>======
ID#AAABESIup6Q
    (2024-01-30 10:41:04)
coloque o peso usado nessa série</t>
      </text>
    </comment>
    <comment ref="I94" authorId="0" shapeId="0">
      <text>
        <t>======
ID#AAABFXW-m08
    (2024-01-30 10:41:03)
coloque a velocidade média em segundos usada nessa série (soma da ação concêntrica e excêntrica) obtida pelo metrônomo ou acelerômetro</t>
      </text>
    </comment>
    <comment ref="J94" authorId="0" shapeId="0">
      <text>
        <t>======
ID#AAABESIupyw
    (2024-01-30 10:41:04)
VTT
 Série x repetições x peso</t>
      </text>
    </comment>
    <comment ref="L94" authorId="0" shapeId="0">
      <text>
        <t>======
ID#AAABFXW-m1A
    (2024-01-30 10:41:03)
coloque as repetições da série</t>
      </text>
    </comment>
    <comment ref="M94" authorId="0" shapeId="0">
      <text>
        <t>======
ID#AAABFXW-nEY
    (2024-01-30 10:41:04)
coloque o peso usado nessa série</t>
      </text>
    </comment>
    <comment ref="N94" authorId="0" shapeId="0">
      <text>
        <t>======
ID#AAABFXW-nOE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ID#AAABFXW-nAU
    (2024-01-30 10:41:03)
VTT
 Série x repetições x peso</t>
      </text>
    </comment>
    <comment ref="Q94" authorId="0" shapeId="0">
      <text>
        <t>======
ID#AAABFXW-m8k
    (2024-01-30 10:41:03)
coloque as repetições da série</t>
      </text>
    </comment>
    <comment ref="R94" authorId="0" shapeId="0">
      <text>
        <t>======
ID#AAABFXW-m28
    (2024-01-30 10:41:03)
coloque o peso usado nessa série</t>
      </text>
    </comment>
    <comment ref="S94" authorId="0" shapeId="0">
      <text>
        <t>======
ID#AAABFXW-m2A
    (2024-01-30 10:41:03)
coloque a velocidade média em segundos usada nessa série (soma da ação concêntrica e excêntrica) obtida pelo metrônomo ou acelerômetro</t>
      </text>
    </comment>
    <comment ref="T94" authorId="0" shapeId="0">
      <text>
        <t>======
ID#AAABESIuqIQ
    (2024-01-30 10:41:04)
VTT
 Série x repetições x peso</t>
      </text>
    </comment>
    <comment ref="V94" authorId="0" shapeId="0">
      <text>
        <t>======
ID#AAABFXW-nTY
    (2024-01-30 10:41:04)
coloque as repetições da série</t>
      </text>
    </comment>
    <comment ref="W94" authorId="0" shapeId="0">
      <text>
        <t>======
ID#AAABESIup0k
    (2024-01-30 10:41:04)
coloque o peso usado nessa série</t>
      </text>
    </comment>
    <comment ref="X94" authorId="0" shapeId="0">
      <text>
        <t>======
ID#AAABFXW-nBE
    (2024-01-30 10:41:03)
coloque a velocidade média em segundos usada nessa série (soma da ação concêntrica e excêntrica) obtida pelo metrônomo ou acelerômetro</t>
      </text>
    </comment>
    <comment ref="Y94" authorId="0" shapeId="0">
      <text>
        <t>======
ID#AAABESIupts
    (2024-01-30 10:41:04)
VTT
 Série x repetições x peso</t>
      </text>
    </comment>
    <comment ref="AG96" authorId="0" shapeId="0">
      <text>
        <t>======
ID#AAABESIupqs
    (2024-01-30 10:41:04)
Inserir tempo total de sessão em minutos</t>
      </text>
    </comment>
    <comment ref="E107" authorId="0" shapeId="0">
      <text>
        <t>======
ID#AAABESIuqDA
    (2024-01-30 10:41:04)
Percepção de recuperação de intervalo entre as séries. Inserir valor na célula ao lado direito</t>
      </text>
    </comment>
    <comment ref="J107" authorId="0" shapeId="0">
      <text>
        <t>======
ID#AAABFXW-nLg
    (2024-01-30 10:41:04)
Percepção de recuperação de intervalo entre as séries. Inserir valor na célula ao lado direito</t>
      </text>
    </comment>
    <comment ref="O107" authorId="0" shapeId="0">
      <text>
        <t>======
ID#AAABESIuqBc
    (2024-01-30 10:41:04)
Percepção de recuperação de intervalo entre as séries. Inserir valor na célula ao lado direito</t>
      </text>
    </comment>
    <comment ref="T107" authorId="0" shapeId="0">
      <text>
        <t>======
ID#AAABFXW-m7Q
    (2024-01-30 10:41:03)
Percepção de recuperação de intervalo entre as séries. Inserir valor na célula ao lado direito</t>
      </text>
    </comment>
    <comment ref="AC107" authorId="0" shapeId="0">
      <text>
        <t>======
ID#AAABFXW-nBY
    (2024-01-30 10:41:03)
PR média obtida de todas as séries</t>
      </text>
    </comment>
    <comment ref="L109" authorId="0" shapeId="0">
      <text>
        <t>======
ID#AAABFXW-nKk
    (2024-01-30 10:41:04)
sono obtido pela escala Hooper</t>
      </text>
    </comment>
    <comment ref="M109" authorId="0" shapeId="0">
      <text>
        <t>======
ID#AAABESIuqGM
    (2024-01-30 10:41:04)
estresse obtido pela escala Hooper</t>
      </text>
    </comment>
    <comment ref="N109" authorId="0" shapeId="0">
      <text>
        <t>======
ID#AAABFXW-nSk
    (2024-01-30 10:41:04)
fadiga obtida pela escala Hooper</t>
      </text>
    </comment>
    <comment ref="O109" authorId="0" shapeId="0">
      <text>
        <t>======
ID#AAABESIuqB0
    (2024-01-30 10:41:04)
fadiga obtida pela escala Hooper</t>
      </text>
    </comment>
    <comment ref="Q109" authorId="0" shapeId="0">
      <text>
        <t>======
ID#AAABFXW-mxs
    (2024-01-30 10:41:03)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ID#AAABFXW-mxk
    (2024-01-30 10:41:03)
Valor em centímetros do Teste de salto vertical obtido pelo aplicativo My Jump</t>
      </text>
    </comment>
    <comment ref="E110" authorId="0" shapeId="0">
      <text>
        <t>======
ID#AAABFXW-nRc
    (2024-01-30 10:41:04)
Inserir data do treino</t>
      </text>
    </comment>
    <comment ref="A111" authorId="0" shapeId="0">
      <text>
        <t>======
ID#AAABESIuptg
    (2024-01-30 10:41:04)
Inserir abaixo os exercícios utilizados nesse dia</t>
      </text>
    </comment>
    <comment ref="AA111" authorId="0" shapeId="0">
      <text>
        <t>======
ID#AAABFXW-mys
    (2024-01-30 10:41:03)
percentual de alteração da velocidade de movimento da série 2 versus série 1</t>
      </text>
    </comment>
    <comment ref="AB111" authorId="0" shapeId="0">
      <text>
        <t>======
ID#AAABESIuqC4
    (2024-01-30 10:41:04)
percentual de alteração da velocidade de movimento da série 3 versus série 1</t>
      </text>
    </comment>
    <comment ref="AC111" authorId="0" shapeId="0">
      <text>
        <t>======
ID#AAABESIup8w
    (2024-01-30 10:41:04)
percentual de alteração da velocidade de movimento da série 4 versus série 1</t>
      </text>
    </comment>
    <comment ref="AD111" authorId="0" shapeId="0">
      <text>
        <t>======
ID#AAABFXW-nIg
    (2024-01-30 10:41:04)
percentual de alteração da velocidade de movimento da série 5 versus série 1</t>
      </text>
    </comment>
    <comment ref="AE111" authorId="0" shapeId="0">
      <text>
        <t>======
ID#AAABFXW-mww
    (2024-01-30 10:41:03)
Inserir abaixo o valor de PSE da sessão obtida 30 minutos após a sessão de treino</t>
      </text>
    </comment>
    <comment ref="AG111" authorId="0" shapeId="0">
      <text>
        <t>======
ID#AAABFXW-nJA
    (2024-01-30 10:41:04)
Volume total de treino da sessão</t>
      </text>
    </comment>
    <comment ref="AJ111" authorId="0" shapeId="0">
      <text>
        <t>======
ID#AAABFXW-nRo
    (2024-01-30 10:41:04)
Número de s</t>
      </text>
    </comment>
    <comment ref="B112" authorId="0" shapeId="0">
      <text>
        <t>======
ID#AAABESIupvY
    (2024-01-30 10:41:04)
coloque as repetições da série</t>
      </text>
    </comment>
    <comment ref="C112" authorId="0" shapeId="0">
      <text>
        <t>======
ID#AAABESIup24
    (2024-01-30 10:41:04)
coloque o peso usado nessa série</t>
      </text>
    </comment>
    <comment ref="D112" authorId="0" shapeId="0">
      <text>
        <t>======
ID#AAABFXW-m1o
    (2024-01-30 10:41:03)
coloque a velocidade média em segundos usada nessa série (soma da ação concêntrica e excêntrica) obtida pelo metrônomo ou acelerômetro</t>
      </text>
    </comment>
    <comment ref="E112" authorId="0" shapeId="0">
      <text>
        <t>======
ID#AAABESIupzU
    (2024-01-30 10:41:04)
VTT
 Série x repetições x peso</t>
      </text>
    </comment>
    <comment ref="G112" authorId="0" shapeId="0">
      <text>
        <t>======
ID#AAABFXW-nU8
    (2024-01-30 10:41:04)
coloque as repetições da série</t>
      </text>
    </comment>
    <comment ref="H112" authorId="0" shapeId="0">
      <text>
        <t>======
ID#AAABESIuqGE
    (2024-01-30 10:41:04)
coloque o peso usado nessa série</t>
      </text>
    </comment>
    <comment ref="I112" authorId="0" shapeId="0">
      <text>
        <t>======
ID#AAABFXW-nXM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ID#AAABESIupuY
    (2024-01-30 10:41:04)
VTT
 Série x repetições x peso</t>
      </text>
    </comment>
    <comment ref="L112" authorId="0" shapeId="0">
      <text>
        <t>======
ID#AAABFXW-nQA
    (2024-01-30 10:41:04)
coloque as repetições da série</t>
      </text>
    </comment>
    <comment ref="M112" authorId="0" shapeId="0">
      <text>
        <t>======
ID#AAABFXW-nOU
    (2024-01-30 10:41:04)
coloque o peso usado nessa série</t>
      </text>
    </comment>
    <comment ref="N112" authorId="0" shapeId="0">
      <text>
        <t>======
ID#AAABFXW-nC8
    (2024-01-30 10:41:04)
coloque a velocidade média em segundos usada nessa série (soma da ação concêntrica e excêntrica) obtida pelo metrônomo ou acelerômetro</t>
      </text>
    </comment>
    <comment ref="O112" authorId="0" shapeId="0">
      <text>
        <t>======
ID#AAABFXW-nLk
    (2024-01-30 10:41:04)
VTT
 Série x repetições x peso</t>
      </text>
    </comment>
    <comment ref="Q112" authorId="0" shapeId="0">
      <text>
        <t>======
ID#AAABFXW-nHk
    (2024-01-30 10:41:04)
coloque as repetições da série</t>
      </text>
    </comment>
    <comment ref="R112" authorId="0" shapeId="0">
      <text>
        <t>======
ID#AAABFXW-mzU
    (2024-01-30 10:41:03)
coloque o peso usado nessa série</t>
      </text>
    </comment>
    <comment ref="S112" authorId="0" shapeId="0">
      <text>
        <t>======
ID#AAABFXW-m2I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ID#AAABESIuqGA
    (2024-01-30 10:41:04)
VTT
 Série x repetições x peso</t>
      </text>
    </comment>
    <comment ref="V112" authorId="0" shapeId="0">
      <text>
        <t>======
ID#AAABFXW-nPM
    (2024-01-30 10:41:04)
coloque as repetições da série</t>
      </text>
    </comment>
    <comment ref="W112" authorId="0" shapeId="0">
      <text>
        <t>======
ID#AAABESIuprs
    (2024-01-30 10:41:04)
coloque o peso usado nessa série</t>
      </text>
    </comment>
    <comment ref="X112" authorId="0" shapeId="0">
      <text>
        <t>======
ID#AAABESIupvw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ID#AAABESIuqAI
    (2024-01-30 10:41:04)
VTT
 Série x repetições x peso</t>
      </text>
    </comment>
    <comment ref="AG114" authorId="0" shapeId="0">
      <text>
        <t>======
ID#AAABFXW-nI0
    (2024-01-30 10:41:04)
Inserir tempo total de sessão em minutos</t>
      </text>
    </comment>
    <comment ref="E125" authorId="0" shapeId="0">
      <text>
        <t>======
ID#AAABFXW-nUY
    (2024-01-30 10:41:04)
Percepção de recuperação de intervalo entre as séries. Inserir valor na célula ao lado direito</t>
      </text>
    </comment>
    <comment ref="J125" authorId="0" shapeId="0">
      <text>
        <t>======
ID#AAABFXW-m78
    (2024-01-30 10:41:03)
Percepção de recuperação de intervalo entre as séries. Inserir valor na célula ao lado direito</t>
      </text>
    </comment>
    <comment ref="O125" authorId="0" shapeId="0">
      <text>
        <t>======
ID#AAABFXW-m3k
    (2024-01-30 10:41:03)
Percepção de recuperação de intervalo entre as séries. Inserir valor na célula ao lado direito</t>
      </text>
    </comment>
    <comment ref="T125" authorId="0" shapeId="0">
      <text>
        <t>======
ID#AAABFXW-m7A
    (2024-01-30 10:41:03)
Percepção de recuperação de intervalo entre as séries. Inserir valor na célula ao lado direito</t>
      </text>
    </comment>
    <comment ref="AC125" authorId="0" shapeId="0">
      <text>
        <t>======
ID#AAABFXW-nWg
    (2024-01-30 10:41:04)
PR média obtida de todas as séries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A1" authorId="0" shapeId="0">
      <text>
        <t>Semana 4: ~85%, quase ritmo normal. Falha só na última série de cada exercício.</t>
      </text>
    </comment>
    <comment ref="L1" authorId="0" shapeId="0">
      <text>
        <t>======
ID#AAABESIupyg
    (2024-01-30 10:41:04)
sono obtido pela escala Hooper</t>
      </text>
    </comment>
    <comment ref="M1" authorId="0" shapeId="0">
      <text>
        <t>======
ID#AAABFXW-nK8
    (2024-01-30 10:41:04)
estresse obtido pela escala Hooper</t>
      </text>
    </comment>
    <comment ref="N1" authorId="0" shapeId="0">
      <text>
        <t>======
ID#AAABESIupr0
    (2024-01-30 10:41:04)
fadiga obtida pela escala Hooper</t>
      </text>
    </comment>
    <comment ref="O1" authorId="0" shapeId="0">
      <text>
        <t>======
ID#AAABFXW-nV8
    (2024-01-30 10:41:04)
fadiga obtida pela escala Hooper</t>
      </text>
    </comment>
    <comment ref="Q1" authorId="0" shapeId="0">
      <text>
        <t>======
ID#AAABESIup1g
    (2024-01-30 10:41:04)
Média da escala Hooper obtida pelos valores de sono, estresse, fadiga e dor
1-2 =  bom estado de prontidão
3-5 = moderado estado de prontidão 6-7 = ruim estado de prntidão</t>
      </text>
    </comment>
    <comment ref="T1" authorId="0" shapeId="0">
      <text>
        <t>======
ID#AAABFXW-nFg
    (2024-01-30 10:41:04)
Valor em centímetros do Teste de salto vertical obtido pelo aplicativo My Jump</t>
      </text>
    </comment>
    <comment ref="A2" authorId="0" shapeId="0">
      <text>
        <t>Cardio: Bike/Transport 20-30 min contínuo moderado</t>
      </text>
    </comment>
    <comment ref="E2" authorId="0" shapeId="0">
      <text>
        <t>======
ID#AAABFXW-nUo
    (2024-01-30 10:41:04)
Inserir data do treino</t>
      </text>
    </comment>
    <comment ref="A3" authorId="0" shapeId="0">
      <text>
        <t>======
ID#AAABFXW-m3s
    (2024-01-30 10:41:03)
Inserir abaixo os exercícios utilizados nesse dia</t>
      </text>
    </comment>
    <comment ref="AA3" authorId="0" shapeId="0">
      <text>
        <t>======
ID#AAABFXW-m0k
    (2024-01-30 10:41:03)
percentual de alteração da velocidade de movimento da série 2 versus série 1</t>
      </text>
    </comment>
    <comment ref="AB3" authorId="0" shapeId="0">
      <text>
        <t>======
ID#AAABESIuqAg
    (2024-01-30 10:41:04)
percentual de alteração da velocidade de movimento da série 3 versus série 1</t>
      </text>
    </comment>
    <comment ref="AC3" authorId="0" shapeId="0">
      <text>
        <t>======
ID#AAABFXW-my4
    (2024-01-30 10:41:03)
percentual de alteração da velocidade de movimento da série 4 versus série 1</t>
      </text>
    </comment>
    <comment ref="AD3" authorId="0" shapeId="0">
      <text>
        <t>======
ID#AAABESIuqA0
    (2024-01-30 10:41:04)
percentual de alteração da velocidade de movimento da série 5 versus série 1</t>
      </text>
    </comment>
    <comment ref="AE3" authorId="0" shapeId="0">
      <text>
        <t>======
ID#AAABFXW-nQ0
    (2024-01-30 10:41:04)
Inserir abaixo o valor de PSE da sessão obtida 30 minutos após a sessão de treino</t>
      </text>
    </comment>
    <comment ref="AG3" authorId="0" shapeId="0">
      <text>
        <t>======
ID#AAABFXW-myw
    (2024-01-30 10:41:03)
Volume total de treino da sessão</t>
      </text>
    </comment>
    <comment ref="AJ3" authorId="0" shapeId="0">
      <text>
        <t>======
ID#AAABESIuqBY
    (2024-01-30 10:41:04)
Número de s</t>
      </text>
    </comment>
    <comment ref="B4" authorId="0" shapeId="0">
      <text>
        <t>======
ID#AAABFXW-nAk
    (2024-01-30 10:41:03)
coloque as repetições da série</t>
      </text>
    </comment>
    <comment ref="C4" authorId="0" shapeId="0">
      <text>
        <t>======
ID#AAABFXW-nM4
    (2024-01-30 10:41:04)
coloque o peso usado nessa série</t>
      </text>
    </comment>
    <comment ref="D4" authorId="0" shapeId="0">
      <text>
        <t>======
ID#AAABFXW-nTI
    (2024-01-30 10:41:04)
coloque a velocidade média em segundos usada nessa série (soma da ação concêntrica e excêntrica) obtida pelo metrônomo ou acelerômetro</t>
      </text>
    </comment>
    <comment ref="E4" authorId="0" shapeId="0">
      <text>
        <t>======
ID#AAABFXW-nDc
    (2024-01-30 10:41:04)
VTT
 Série x repetições x peso</t>
      </text>
    </comment>
    <comment ref="G4" authorId="0" shapeId="0">
      <text>
        <t>======
ID#AAABESIuqH4
    (2024-01-30 10:41:04)
coloque as repetições da série</t>
      </text>
    </comment>
    <comment ref="H4" authorId="0" shapeId="0">
      <text>
        <t>======
ID#AAABESIuqIA
    (2024-01-30 10:41:04)
coloque o peso usado nessa série</t>
      </text>
    </comment>
    <comment ref="I4" authorId="0" shapeId="0">
      <text>
        <t>======
ID#AAABESIupug
    (2024-01-30 10:41:04)
coloque a velocidade média em segundos usada nessa série (soma da ação concêntrica e excêntrica) obtida pelo metrônomo ou acelerômetro</t>
      </text>
    </comment>
    <comment ref="J4" authorId="0" shapeId="0">
      <text>
        <t>======
ID#AAABFXW-nQ4
    (2024-01-30 10:41:04)
VTT
 Série x repetições x peso</t>
      </text>
    </comment>
    <comment ref="L4" authorId="0" shapeId="0">
      <text>
        <t>======
ID#AAABESIup4E
    (2024-01-30 10:41:04)
coloque as repetições da série</t>
      </text>
    </comment>
    <comment ref="M4" authorId="0" shapeId="0">
      <text>
        <t>======
ID#AAABESIuqFM
    (2024-01-30 10:41:04)
coloque o peso usado nessa série</t>
      </text>
    </comment>
    <comment ref="N4" authorId="0" shapeId="0">
      <text>
        <t>======
ID#AAABFXW-m-I
    (2024-01-30 10:41:03)
coloque a velocidade média em segundos usada nessa série (soma da ação concêntrica e excêntrica) obtida pelo metrônomo ou acelerômetro</t>
      </text>
    </comment>
    <comment ref="O4" authorId="0" shapeId="0">
      <text>
        <t>======
ID#AAABFXW-nTo
    (2024-01-30 10:41:04)
VTT
 Série x repetições x peso</t>
      </text>
    </comment>
    <comment ref="Q4" authorId="0" shapeId="0">
      <text>
        <t>======
ID#AAABFXW-m4Y
    (2024-01-30 10:41:03)
coloque as repetições da série</t>
      </text>
    </comment>
    <comment ref="R4" authorId="0" shapeId="0">
      <text>
        <t>======
ID#AAABFXW-nDY
    (2024-01-30 10:41:04)
coloque o peso usado nessa série</t>
      </text>
    </comment>
    <comment ref="S4" authorId="0" shapeId="0">
      <text>
        <t>======
ID#AAABESIuprM
    (2024-01-30 10:41:04)
coloque a velocidade média em segundos usada nessa série (soma da ação concêntrica e excêntrica) obtida pelo metrônomo ou acelerômetro</t>
      </text>
    </comment>
    <comment ref="T4" authorId="0" shapeId="0">
      <text>
        <t>======
ID#AAABESIup_E
    (2024-01-30 10:41:04)
VTT
 Série x repetições x peso</t>
      </text>
    </comment>
    <comment ref="V4" authorId="0" shapeId="0">
      <text>
        <t>======
ID#AAABFXW-m2o
    (2024-01-30 10:41:03)
coloque as repetições da série</t>
      </text>
    </comment>
    <comment ref="W4" authorId="0" shapeId="0">
      <text>
        <t>======
ID#AAABFXW-nGo
    (2024-01-30 10:41:04)
coloque o peso usado nessa série</t>
      </text>
    </comment>
    <comment ref="X4" authorId="0" shapeId="0">
      <text>
        <t>======
ID#AAABESIuqA8
    (2024-01-30 10:41:04)
coloque a velocidade média em segundos usada nessa série (soma da ação concêntrica e excêntrica) obtida pelo metrônomo ou acelerômetro</t>
      </text>
    </comment>
    <comment ref="Y4" authorId="0" shapeId="0">
      <text>
        <t>======
ID#AAABFXW-mwM
    (2024-01-30 10:41:03)
VTT
 Série x repetições x peso</t>
      </text>
    </comment>
    <comment ref="AG6" authorId="0" shapeId="0">
      <text>
        <t>======
ID#AAABESIuqAM
    (2024-01-30 10:41:04)
Inserir tempo total de sessão em minutos</t>
      </text>
    </comment>
    <comment ref="E17" authorId="0" shapeId="0">
      <text>
        <t>======
ID#AAABFXW-mwQ
    (2024-01-30 10:41:03)
Percepção de recuperação de intervalo entre as séries. Inserir valor na célula ao lado direito</t>
      </text>
    </comment>
    <comment ref="J17" authorId="0" shapeId="0">
      <text>
        <t>======
ID#AAABFXW-m4k
    (2024-01-30 10:41:03)
Percepção de recuperação de intervalo entre as séries. Inserir valor na célula ao lado direito</t>
      </text>
    </comment>
    <comment ref="O17" authorId="0" shapeId="0">
      <text>
        <t>======
ID#AAABESIuqDc
    (2024-01-30 10:41:04)
Percepção de recuperação de intervalo entre as séries. Inserir valor na célula ao lado direito</t>
      </text>
    </comment>
    <comment ref="T17" authorId="0" shapeId="0">
      <text>
        <t>======
ID#AAABESIuqEE
    (2024-01-30 10:41:04)
Percepção de recuperação de intervalo entre as séries. Inserir valor na célula ao lado direito</t>
      </text>
    </comment>
    <comment ref="AC17" authorId="0" shapeId="0">
      <text>
        <t>======
ID#AAABFXW-m0s
    (2024-01-30 10:41:03)
PR média obtida de todas as séries</t>
      </text>
    </comment>
    <comment ref="L19" authorId="0" shapeId="0">
      <text>
        <t>======
ID#AAABESIuqDE
    (2024-01-30 10:41:04)
sono obtido pela escala Hooper</t>
      </text>
    </comment>
    <comment ref="M19" authorId="0" shapeId="0">
      <text>
        <t>======
ID#AAABESIup30
    (2024-01-30 10:41:04)
estresse obtido pela escala Hooper</t>
      </text>
    </comment>
    <comment ref="N19" authorId="0" shapeId="0">
      <text>
        <t>======
ID#AAABESIuqAw
    (2024-01-30 10:41:04)
fadiga obtida pela escala Hooper</t>
      </text>
    </comment>
    <comment ref="O19" authorId="0" shapeId="0">
      <text>
        <t>======
ID#AAABFXW-nCU
    (2024-01-30 10:41:03)
fadiga obtida pela escala Hooper</t>
      </text>
    </comment>
    <comment ref="Q19" authorId="0" shapeId="0">
      <text>
        <t>======
ID#AAABFXW-nFc
    (2024-01-30 10:41:04)
Média da escala Hooper obtida pelos valores de sono, estresse, fadiga e dor
1-2 =  bom estado de prontidão
3-5 = moderado estado de prontidão 6-7 = ruim estado de prntidão</t>
      </text>
    </comment>
    <comment ref="T19" authorId="0" shapeId="0">
      <text>
        <t>======
ID#AAABFXW-nO4
    (2024-01-30 10:41:04)
Valor em centímetros do Teste de salto vertical obtido pelo aplicativo My Jump</t>
      </text>
    </comment>
    <comment ref="A20" authorId="0" shapeId="0">
      <text>
        <t>Cardio: Esteira inclinada 30 min contínuo moderado</t>
      </text>
    </comment>
    <comment ref="E20" authorId="0" shapeId="0">
      <text>
        <t>======
ID#AAABESIupvQ
    (2024-01-30 10:41:04)
Inserir data do treino</t>
      </text>
    </comment>
    <comment ref="A21" authorId="0" shapeId="0">
      <text>
        <t>======
ID#AAABESIupqY
    (2024-01-30 10:41:04)
Inserir abaixo os exercícios utilizados nesse dia</t>
      </text>
    </comment>
    <comment ref="AA21" authorId="0" shapeId="0">
      <text>
        <t>======
ID#AAABESIuqH8
    (2024-01-30 10:41:04)
percentual de alteração da velocidade de movimento da série 2 versus série 1</t>
      </text>
    </comment>
    <comment ref="AB21" authorId="0" shapeId="0">
      <text>
        <t>======
ID#AAABESIup8U
    (2024-01-30 10:41:04)
percentual de alteração da velocidade de movimento da série 3 versus série 1</t>
      </text>
    </comment>
    <comment ref="AC21" authorId="0" shapeId="0">
      <text>
        <t>======
ID#AAABFXW-nVQ
    (2024-01-30 10:41:04)
percentual de alteração da velocidade de movimento da série 4 versus série 1</t>
      </text>
    </comment>
    <comment ref="AD21" authorId="0" shapeId="0">
      <text>
        <t>======
ID#AAABESIuqAQ
    (2024-01-30 10:41:04)
percentual de alteração da velocidade de movimento da série 5 versus série 1</t>
      </text>
    </comment>
    <comment ref="AE21" authorId="0" shapeId="0">
      <text>
        <t>======
ID#AAABESIup8E
    (2024-01-30 10:41:04)
Inserir abaixo o valor de PSE da sessão obtida 30 minutos após a sessão de treino</t>
      </text>
    </comment>
    <comment ref="AG21" authorId="0" shapeId="0">
      <text>
        <t>======
ID#AAABFXW-nRU
    (2024-01-30 10:41:04)
Volume total de treino da sessão</t>
      </text>
    </comment>
    <comment ref="AJ21" authorId="0" shapeId="0">
      <text>
        <t>======
ID#AAABFXW-nJw
    (2024-01-30 10:41:04)
Número de s</t>
      </text>
    </comment>
    <comment ref="B22" authorId="0" shapeId="0">
      <text>
        <t>======
ID#AAABFXW-nWI
    (2024-01-30 10:41:04)
coloque as repetições da série</t>
      </text>
    </comment>
    <comment ref="C22" authorId="0" shapeId="0">
      <text>
        <t>======
ID#AAABFXW-m3g
    (2024-01-30 10:41:03)
coloque o peso usado nessa série</t>
      </text>
    </comment>
    <comment ref="D22" authorId="0" shapeId="0">
      <text>
        <t>======
ID#AAABFXW-mwI
    (2024-01-30 10:41:03)
coloque a velocidade média em segundos usada nessa série (soma da ação concêntrica e excêntrica) obtida pelo metrônomo ou acelerômetro</t>
      </text>
    </comment>
    <comment ref="E22" authorId="0" shapeId="0">
      <text>
        <t>======
ID#AAABFXW-m4E
    (2024-01-30 10:41:03)
VTT
 Série x repetições x peso</t>
      </text>
    </comment>
    <comment ref="G22" authorId="0" shapeId="0">
      <text>
        <t>======
ID#AAABESIup0A
    (2024-01-30 10:41:04)
coloque as repetições da série</t>
      </text>
    </comment>
    <comment ref="H22" authorId="0" shapeId="0">
      <text>
        <t>======
ID#AAABESIup-M
    (2024-01-30 10:41:04)
coloque o peso usado nessa série</t>
      </text>
    </comment>
    <comment ref="I22" authorId="0" shapeId="0">
      <text>
        <t>======
ID#AAABFXW-nNI
    (2024-01-30 10:41:04)
coloque a velocidade média em segundos usada nessa série (soma da ação concêntrica e excêntrica) obtida pelo metrônomo ou acelerômetro</t>
      </text>
    </comment>
    <comment ref="J22" authorId="0" shapeId="0">
      <text>
        <t>======
ID#AAABESIupxM
    (2024-01-30 10:41:04)
VTT
 Série x repetições x peso</t>
      </text>
    </comment>
    <comment ref="L22" authorId="0" shapeId="0">
      <text>
        <t>======
ID#AAABFXW-mwY
    (2024-01-30 10:41:03)
coloque as repetições da série</t>
      </text>
    </comment>
    <comment ref="M22" authorId="0" shapeId="0">
      <text>
        <t>======
ID#AAABESIup28
    (2024-01-30 10:41:04)
coloque o peso usado nessa série</t>
      </text>
    </comment>
    <comment ref="N22" authorId="0" shapeId="0">
      <text>
        <t>======
ID#AAABESIup94
    (2024-01-30 10:41:04)
coloque a velocidade média em segundos usada nessa série (soma da ação concêntrica e excêntrica) obtida pelo metrônomo ou acelerômetro</t>
      </text>
    </comment>
    <comment ref="O22" authorId="0" shapeId="0">
      <text>
        <t>======
ID#AAABFXW-nJI
    (2024-01-30 10:41:04)
VTT
 Série x repetições x peso</t>
      </text>
    </comment>
    <comment ref="Q22" authorId="0" shapeId="0">
      <text>
        <t>======
ID#AAABESIuptE
    (2024-01-30 10:41:04)
coloque as repetições da série</t>
      </text>
    </comment>
    <comment ref="R22" authorId="0" shapeId="0">
      <text>
        <t>======
ID#AAABFXW-m6A
    (2024-01-30 10:41:03)
coloque o peso usado nessa série</t>
      </text>
    </comment>
    <comment ref="S22" authorId="0" shapeId="0">
      <text>
        <t>======
ID#AAABFXW-nBM
    (2024-01-30 10:41:03)
coloque a velocidade média em segundos usada nessa série (soma da ação concêntrica e excêntrica) obtida pelo metrônomo ou acelerômetro</t>
      </text>
    </comment>
    <comment ref="T22" authorId="0" shapeId="0">
      <text>
        <t>======
ID#AAABFXW-nHs
    (2024-01-30 10:41:04)
VTT
 Série x repetições x peso</t>
      </text>
    </comment>
    <comment ref="V22" authorId="0" shapeId="0">
      <text>
        <t>======
ID#AAABFXW-nGY
    (2024-01-30 10:41:04)
coloque as repetições da série</t>
      </text>
    </comment>
    <comment ref="W22" authorId="0" shapeId="0">
      <text>
        <t>======
ID#AAABESIupuU
    (2024-01-30 10:41:04)
coloque o peso usado nessa série</t>
      </text>
    </comment>
    <comment ref="X22" authorId="0" shapeId="0">
      <text>
        <t>======
ID#AAABFXW-myQ
    (2024-01-30 10:41:03)
coloque a velocidade média em segundos usada nessa série (soma da ação concêntrica e excêntrica) obtida pelo metrônomo ou acelerômetro</t>
      </text>
    </comment>
    <comment ref="Y22" authorId="0" shapeId="0">
      <text>
        <t>======
ID#AAABESIupqc
    (2024-01-30 10:41:04)
VTT
 Série x repetições x peso</t>
      </text>
    </comment>
    <comment ref="AG24" authorId="0" shapeId="0">
      <text>
        <t>======
ID#AAABFXW-nUU
    (2024-01-30 10:41:04)
Inserir tempo total de sessão em minutos</t>
      </text>
    </comment>
    <comment ref="E35" authorId="0" shapeId="0">
      <text>
        <t>======
ID#AAABFXW-nGc
    (2024-01-30 10:41:04)
Percepção de recuperação de intervalo entre as séries. Inserir valor na célula ao lado direito</t>
      </text>
    </comment>
    <comment ref="J35" authorId="0" shapeId="0">
      <text>
        <t>======
ID#AAABFXW-m54
    (2024-01-30 10:41:03)
Percepção de recuperação de intervalo entre as séries. Inserir valor na célula ao lado direito</t>
      </text>
    </comment>
    <comment ref="O35" authorId="0" shapeId="0">
      <text>
        <t>======
ID#AAABFXW-nIY
    (2024-01-30 10:41:04)
Percepção de recuperação de intervalo entre as séries. Inserir valor na célula ao lado direito</t>
      </text>
    </comment>
    <comment ref="T35" authorId="0" shapeId="0">
      <text>
        <t>======
ID#AAABESIup1M
    (2024-01-30 10:41:04)
Percepção de recuperação de intervalo entre as séries. Inserir valor na célula ao lado direito</t>
      </text>
    </comment>
    <comment ref="AC35" authorId="0" shapeId="0">
      <text>
        <t>======
ID#AAABFXW-nGA
    (2024-01-30 10:41:04)
PR média obtida de todas as séries</t>
      </text>
    </comment>
    <comment ref="L37" authorId="0" shapeId="0">
      <text>
        <t>======
ID#AAABESIuqCk
    (2024-01-30 10:41:04)
sono obtido pela escala Hooper</t>
      </text>
    </comment>
    <comment ref="M37" authorId="0" shapeId="0">
      <text>
        <t>======
ID#AAABFXW-m1I
    (2024-01-30 10:41:03)
estresse obtido pela escala Hooper</t>
      </text>
    </comment>
    <comment ref="N37" authorId="0" shapeId="0">
      <text>
        <t>======
ID#AAABFXW-m3A
    (2024-01-30 10:41:03)
fadiga obtida pela escala Hooper</t>
      </text>
    </comment>
    <comment ref="O37" authorId="0" shapeId="0">
      <text>
        <t>======
ID#AAABFXW-m70
    (2024-01-30 10:41:03)
fadiga obtida pela escala Hooper</t>
      </text>
    </comment>
    <comment ref="Q37" authorId="0" shapeId="0">
      <text>
        <t>======
ID#AAABFXW-m3w
    (2024-01-30 10:41:03)
Média da escala Hooper obtida pelos valores de sono, estresse, fadiga e dor
1-2 =  bom estado de prontidão
3-5 = moderado estado de prontidão 6-7 = ruim estado de prntidão</t>
      </text>
    </comment>
    <comment ref="T37" authorId="0" shapeId="0">
      <text>
        <t>======
ID#AAABFXW-nTc
    (2024-01-30 10:41:04)
Valor em centímetros do Teste de salto vertical obtido pelo aplicativo My Jump</t>
      </text>
    </comment>
    <comment ref="A38" authorId="0" shapeId="0">
      <text>
        <t>Cardio: Intervalado esteira 10x(30s forte/30s leve) + 10 min contínuo</t>
      </text>
    </comment>
    <comment ref="E38" authorId="0" shapeId="0">
      <text>
        <t>======
ID#AAABFXW-m9Y
    (2024-01-30 10:41:03)
Inserir data do treino</t>
      </text>
    </comment>
    <comment ref="A39" authorId="0" shapeId="0">
      <text>
        <t>======
ID#AAABESIup50
    (2024-01-30 10:41:04)
Inserir abaixo os exercícios utilizados nesse dia</t>
      </text>
    </comment>
    <comment ref="AA39" authorId="0" shapeId="0">
      <text>
        <t>======
ID#AAABFXW-m3U
    (2024-01-30 10:41:03)
percentual de alteração da velocidade de movimento da série 2 versus série 1</t>
      </text>
    </comment>
    <comment ref="AB39" authorId="0" shapeId="0">
      <text>
        <t>======
ID#AAABFXW-nDU
    (2024-01-30 10:41:04)
percentual de alteração da velocidade de movimento da série 3 versus série 1</t>
      </text>
    </comment>
    <comment ref="AC39" authorId="0" shapeId="0">
      <text>
        <t>======
ID#AAABFXW-nM8
    (2024-01-30 10:41:04)
percentual de alteração da velocidade de movimento da série 4 versus série 1</t>
      </text>
    </comment>
    <comment ref="AD39" authorId="0" shapeId="0">
      <text>
        <t>======
ID#AAABESIup7c
    (2024-01-30 10:41:04)
percentual de alteração da velocidade de movimento da série 5 versus série 1</t>
      </text>
    </comment>
    <comment ref="AE39" authorId="0" shapeId="0">
      <text>
        <t>======
ID#AAABFXW-nR8
    (2024-01-30 10:41:04)
Inserir abaixo o valor de PSE da sessão obtida 30 minutos após a sessão de treino</t>
      </text>
    </comment>
    <comment ref="AG39" authorId="0" shapeId="0">
      <text>
        <t>======
ID#AAABFXW-m0Q
    (2024-01-30 10:41:03)
Volume total de treino da sessão</t>
      </text>
    </comment>
    <comment ref="AJ39" authorId="0" shapeId="0">
      <text>
        <t>======
ID#AAABESIup9k
    (2024-01-30 10:41:04)
Número de s</t>
      </text>
    </comment>
    <comment ref="B40" authorId="0" shapeId="0">
      <text>
        <t>======
ID#AAABFXW-m4c
    (2024-01-30 10:41:03)
coloque as repetições da série</t>
      </text>
    </comment>
    <comment ref="C40" authorId="0" shapeId="0">
      <text>
        <t>======
ID#AAABFXW-nI8
    (2024-01-30 10:41:04)
coloque o peso usado nessa série</t>
      </text>
    </comment>
    <comment ref="D40" authorId="0" shapeId="0">
      <text>
        <t>======
ID#AAABFXW-nDk
    (2024-01-30 10:41:04)
coloque a velocidade média em segundos usada nessa série (soma da ação concêntrica e excêntrica) obtida pelo metrônomo ou acelerômetro</t>
      </text>
    </comment>
    <comment ref="E40" authorId="0" shapeId="0">
      <text>
        <t>======
ID#AAABFXW-nT4
    (2024-01-30 10:41:04)
VTT
 Série x repetições x peso</t>
      </text>
    </comment>
    <comment ref="G40" authorId="0" shapeId="0">
      <text>
        <t>======
ID#AAABESIuqHk
    (2024-01-30 10:41:04)
coloque as repetições da série</t>
      </text>
    </comment>
    <comment ref="H40" authorId="0" shapeId="0">
      <text>
        <t>======
ID#AAABESIupss
    (2024-01-30 10:41:04)
coloque o peso usado nessa série</t>
      </text>
    </comment>
    <comment ref="I40" authorId="0" shapeId="0">
      <text>
        <t>======
ID#AAABESIup54
    (2024-01-30 10:41:04)
coloque a velocidade média em segundos usada nessa série (soma da ação concêntrica e excêntrica) obtida pelo metrônomo ou acelerômetro</t>
      </text>
    </comment>
    <comment ref="J40" authorId="0" shapeId="0">
      <text>
        <t>======
ID#AAABESIup0c
    (2024-01-30 10:41:04)
VTT
 Série x repetições x peso</t>
      </text>
    </comment>
    <comment ref="L40" authorId="0" shapeId="0">
      <text>
        <t>======
ID#AAABFXW-nEg
    (2024-01-30 10:41:04)
coloque as repetições da série</t>
      </text>
    </comment>
    <comment ref="M40" authorId="0" shapeId="0">
      <text>
        <t>======
ID#AAABESIup7A
    (2024-01-30 10:41:04)
coloque o peso usado nessa série</t>
      </text>
    </comment>
    <comment ref="N40" authorId="0" shapeId="0">
      <text>
        <t>======
ID#AAABFXW-m9I
    (2024-01-30 10:41:03)
coloque a velocidade média em segundos usada nessa série (soma da ação concêntrica e excêntrica) obtida pelo metrônomo ou acelerômetro</t>
      </text>
    </comment>
    <comment ref="O40" authorId="0" shapeId="0">
      <text>
        <t>======
ID#AAABESIup_o
    (2024-01-30 10:41:04)
VTT
 Série x repetições x peso</t>
      </text>
    </comment>
    <comment ref="Q40" authorId="0" shapeId="0">
      <text>
        <t>======
ID#AAABESIuqIw
    (2024-01-30 10:41:04)
coloque as repetições da série</t>
      </text>
    </comment>
    <comment ref="R40" authorId="0" shapeId="0">
      <text>
        <t>======
ID#AAABFXW-mzI
    (2024-01-30 10:41:03)
coloque o peso usado nessa série</t>
      </text>
    </comment>
    <comment ref="S40" authorId="0" shapeId="0">
      <text>
        <t>======
ID#AAABFXW-m6k
    (2024-01-30 10:41:03)
coloque a velocidade média em segundos usada nessa série (soma da ação concêntrica e excêntrica) obtida pelo metrônomo ou acelerômetro</t>
      </text>
    </comment>
    <comment ref="T40" authorId="0" shapeId="0">
      <text>
        <t>======
ID#AAABESIupp0
    (2024-01-30 10:41:04)
VTT
 Série x repetições x peso</t>
      </text>
    </comment>
    <comment ref="V40" authorId="0" shapeId="0">
      <text>
        <t>======
ID#AAABESIup00
    (2024-01-30 10:41:04)
coloque as repetições da série</t>
      </text>
    </comment>
    <comment ref="W40" authorId="0" shapeId="0">
      <text>
        <t>======
ID#AAABESIupwA
    (2024-01-30 10:41:04)
coloque o peso usado nessa série</t>
      </text>
    </comment>
    <comment ref="X40" authorId="0" shapeId="0">
      <text>
        <t>======
ID#AAABESIup84
    (2024-01-30 10:41:04)
coloque a velocidade média em segundos usada nessa série (soma da ação concêntrica e excêntrica) obtida pelo metrônomo ou acelerômetro</t>
      </text>
    </comment>
    <comment ref="Y40" authorId="0" shapeId="0">
      <text>
        <t>======
ID#AAABFXW-mxw
    (2024-01-30 10:41:03)
VTT
 Série x repetições x peso</t>
      </text>
    </comment>
    <comment ref="AG42" authorId="0" shapeId="0">
      <text>
        <t>======
ID#AAABESIupvU
    (2024-01-30 10:41:04)
Inserir tempo total de sessão em minutos</t>
      </text>
    </comment>
    <comment ref="E53" authorId="0" shapeId="0">
      <text>
        <t>======
ID#AAABFXW-nX4
    (2024-01-30 10:41:04)
Percepção de recuperação de intervalo entre as séries. Inserir valor na célula ao lado direito</t>
      </text>
    </comment>
    <comment ref="J53" authorId="0" shapeId="0">
      <text>
        <t>======
ID#AAABESIup9U
    (2024-01-30 10:41:04)
Percepção de recuperação de intervalo entre as séries. Inserir valor na célula ao lado direito</t>
      </text>
    </comment>
    <comment ref="O53" authorId="0" shapeId="0">
      <text>
        <t>======
ID#AAABFXW-mws
    (2024-01-30 10:41:03)
Percepção de recuperação de intervalo entre as séries. Inserir valor na célula ao lado direito</t>
      </text>
    </comment>
    <comment ref="T53" authorId="0" shapeId="0">
      <text>
        <t>======
ID#AAABFXW-nRg
    (2024-01-30 10:41:04)
Percepção de recuperação de intervalo entre as séries. Inserir valor na célula ao lado direito</t>
      </text>
    </comment>
    <comment ref="AC53" authorId="0" shapeId="0">
      <text>
        <t>======
ID#AAABESIuprc
    (2024-01-30 10:41:04)
PR média obtida de todas as séries</t>
      </text>
    </comment>
    <comment ref="L55" authorId="0" shapeId="0">
      <text>
        <t>======
ID#AAABFXW-nP0
    (2024-01-30 10:41:04)
sono obtido pela escala Hooper</t>
      </text>
    </comment>
    <comment ref="M55" authorId="0" shapeId="0">
      <text>
        <t>======
ID#AAABESIuptY
    (2024-01-30 10:41:04)
estresse obtido pela escala Hooper</t>
      </text>
    </comment>
    <comment ref="N55" authorId="0" shapeId="0">
      <text>
        <t>======
ID#AAABESIupy0
    (2024-01-30 10:41:04)
fadiga obtida pela escala Hooper</t>
      </text>
    </comment>
    <comment ref="O55" authorId="0" shapeId="0">
      <text>
        <t>======
ID#AAABFXW-mx0
    (2024-01-30 10:41:03)
fadiga obtida pela escala Hooper</t>
      </text>
    </comment>
    <comment ref="Q55" authorId="0" shapeId="0">
      <text>
        <t>======
ID#AAABFXW-mzY
    (2024-01-30 10:41:03)
Média da escala Hooper obtida pelos valores de sono, estresse, fadiga e dor
1-2 =  bom estado de prontidão
3-5 = moderado estado de prontidão 6-7 = ruim estado de prntidão</t>
      </text>
    </comment>
    <comment ref="T55" authorId="0" shapeId="0">
      <text>
        <t>======
ID#AAABFXW-m-0
    (2024-01-30 10:41:03)
Valor em centímetros do Teste de salto vertical obtido pelo aplicativo My Jump</t>
      </text>
    </comment>
    <comment ref="A56" authorId="0" shapeId="0">
      <text>
        <t>Cardio: Bike/Transport 20-30 min contínuo moderado</t>
      </text>
    </comment>
    <comment ref="E56" authorId="0" shapeId="0">
      <text>
        <t>======
ID#AAABFXW-m6E
    (2024-01-30 10:41:03)
Inserir data do treino</t>
      </text>
    </comment>
    <comment ref="A57" authorId="0" shapeId="0">
      <text>
        <t>======
ID#AAABFXW-nUE
    (2024-01-30 10:41:04)
Inserir abaixo os exercícios utilizados nesse dia</t>
      </text>
    </comment>
    <comment ref="AA57" authorId="0" shapeId="0">
      <text>
        <t>======
ID#AAABESIupr8
    (2024-01-30 10:41:04)
percentual de alteração da velocidade de movimento da série 2 versus série 1</t>
      </text>
    </comment>
    <comment ref="AB57" authorId="0" shapeId="0">
      <text>
        <t>======
ID#AAABESIup1Q
    (2024-01-30 10:41:04)
percentual de alteração da velocidade de movimento da série 3 versus série 1</t>
      </text>
    </comment>
    <comment ref="AC57" authorId="0" shapeId="0">
      <text>
        <t>======
ID#AAABESIup6g
    (2024-01-30 10:41:04)
percentual de alteração da velocidade de movimento da série 4 versus série 1</t>
      </text>
    </comment>
    <comment ref="AD57" authorId="0" shapeId="0">
      <text>
        <t>======
ID#AAABFXW-nEM
    (2024-01-30 10:41:04)
percentual de alteração da velocidade de movimento da série 5 versus série 1</t>
      </text>
    </comment>
    <comment ref="AE57" authorId="0" shapeId="0">
      <text>
        <t>======
ID#AAABFXW-nVI
    (2024-01-30 10:41:04)
Inserir abaixo o valor de PSE da sessão obtida 30 minutos após a sessão de treino</t>
      </text>
    </comment>
    <comment ref="AG57" authorId="0" shapeId="0">
      <text>
        <t>======
ID#AAABESIup6s
    (2024-01-30 10:41:04)
Volume total de treino da sessão</t>
      </text>
    </comment>
    <comment ref="AJ57" authorId="0" shapeId="0">
      <text>
        <t>======
ID#AAABESIup_g
    (2024-01-30 10:41:04)
Número de s</t>
      </text>
    </comment>
    <comment ref="B58" authorId="0" shapeId="0">
      <text>
        <t>======
ID#AAABESIup18
    (2024-01-30 10:41:04)
coloque as repetições da série</t>
      </text>
    </comment>
    <comment ref="C58" authorId="0" shapeId="0">
      <text>
        <t>======
ID#AAABFXW-nTA
    (2024-01-30 10:41:04)
coloque o peso usado nessa série</t>
      </text>
    </comment>
    <comment ref="D58" authorId="0" shapeId="0">
      <text>
        <t>======
ID#AAABFXW-nC0
    (2024-01-30 10:41:03)
coloque a velocidade média em segundos usada nessa série (soma da ação concêntrica e excêntrica) obtida pelo metrônomo ou acelerômetro</t>
      </text>
    </comment>
    <comment ref="E58" authorId="0" shapeId="0">
      <text>
        <t>======
ID#AAABESIupzc
    (2024-01-30 10:41:04)
VTT
 Série x repetições x peso</t>
      </text>
    </comment>
    <comment ref="G58" authorId="0" shapeId="0">
      <text>
        <t>======
ID#AAABESIup8o
    (2024-01-30 10:41:04)
coloque as repetições da série</t>
      </text>
    </comment>
    <comment ref="H58" authorId="0" shapeId="0">
      <text>
        <t>======
ID#AAABFXW-m7c
    (2024-01-30 10:41:03)
coloque o peso usado nessa série</t>
      </text>
    </comment>
    <comment ref="I58" authorId="0" shapeId="0">
      <text>
        <t>======
ID#AAABESIupsE
    (2024-01-30 10:41:04)
coloque a velocidade média em segundos usada nessa série (soma da ação concêntrica e excêntrica) obtida pelo metrônomo ou acelerômetro</t>
      </text>
    </comment>
    <comment ref="J58" authorId="0" shapeId="0">
      <text>
        <t>======
ID#AAABFXW-nAE
    (2024-01-30 10:41:03)
VTT
 Série x repetições x peso</t>
      </text>
    </comment>
    <comment ref="L58" authorId="0" shapeId="0">
      <text>
        <t>======
ID#AAABFXW-mzs
    (2024-01-30 10:41:03)
coloque as repetições da série</t>
      </text>
    </comment>
    <comment ref="M58" authorId="0" shapeId="0">
      <text>
        <t>======
ID#AAABFXW-nTs
    (2024-01-30 10:41:04)
coloque o peso usado nessa série</t>
      </text>
    </comment>
    <comment ref="N58" authorId="0" shapeId="0">
      <text>
        <t>======
ID#AAABESIup-8
    (2024-01-30 10:41:04)
coloque a velocidade média em segundos usada nessa série (soma da ação concêntrica e excêntrica) obtida pelo metrônomo ou acelerômetro</t>
      </text>
    </comment>
    <comment ref="O58" authorId="0" shapeId="0">
      <text>
        <t>======
ID#AAABFXW-m40
    (2024-01-30 10:41:03)
VTT
 Série x repetições x peso</t>
      </text>
    </comment>
    <comment ref="Q58" authorId="0" shapeId="0">
      <text>
        <t>======
ID#AAABFXW-nG0
    (2024-01-30 10:41:04)
coloque as repetições da série</t>
      </text>
    </comment>
    <comment ref="R58" authorId="0" shapeId="0">
      <text>
        <t>======
ID#AAABESIupw4
    (2024-01-30 10:41:04)
coloque o peso usado nessa série</t>
      </text>
    </comment>
    <comment ref="S58" authorId="0" shapeId="0">
      <text>
        <t>======
ID#AAABFXW-m3I
    (2024-01-30 10:41:03)
coloque a velocidade média em segundos usada nessa série (soma da ação concêntrica e excêntrica) obtida pelo metrônomo ou acelerômetro</t>
      </text>
    </comment>
    <comment ref="T58" authorId="0" shapeId="0">
      <text>
        <t>======
ID#AAABFXW-nIw
    (2024-01-30 10:41:04)
VTT
 Série x repetições x peso</t>
      </text>
    </comment>
    <comment ref="V58" authorId="0" shapeId="0">
      <text>
        <t>======
ID#AAABFXW-nMw
    (2024-01-30 10:41:04)
coloque as repetições da série</t>
      </text>
    </comment>
    <comment ref="W58" authorId="0" shapeId="0">
      <text>
        <t>======
ID#AAABFXW-nEw
    (2024-01-30 10:41:04)
coloque o peso usado nessa série</t>
      </text>
    </comment>
    <comment ref="X58" authorId="0" shapeId="0">
      <text>
        <t>======
ID#AAABESIupws
    (2024-01-30 10:41:04)
coloque a velocidade média em segundos usada nessa série (soma da ação concêntrica e excêntrica) obtida pelo metrônomo ou acelerômetro</t>
      </text>
    </comment>
    <comment ref="Y58" authorId="0" shapeId="0">
      <text>
        <t>======
ID#AAABESIupwM
    (2024-01-30 10:41:04)
VTT
 Série x repetições x peso</t>
      </text>
    </comment>
    <comment ref="AG60" authorId="0" shapeId="0">
      <text>
        <t>======
ID#AAABESIup_Q
    (2024-01-30 10:41:04)
Inserir tempo total de sessão em minutos</t>
      </text>
    </comment>
    <comment ref="E71" authorId="0" shapeId="0">
      <text>
        <t>======
ID#AAABFXW-m4M
    (2024-01-30 10:41:03)
Percepção de recuperação de intervalo entre as séries. Inserir valor na célula ao lado direito</t>
      </text>
    </comment>
    <comment ref="J71" authorId="0" shapeId="0">
      <text>
        <t>======
ID#AAABESIupsk
    (2024-01-30 10:41:04)
Percepção de recuperação de intervalo entre as séries. Inserir valor na célula ao lado direito</t>
      </text>
    </comment>
    <comment ref="O71" authorId="0" shapeId="0">
      <text>
        <t>======
ID#AAABESIuqEo
    (2024-01-30 10:41:04)
Percepção de recuperação de intervalo entre as séries. Inserir valor na célula ao lado direito</t>
      </text>
    </comment>
    <comment ref="T71" authorId="0" shapeId="0">
      <text>
        <t>======
ID#AAABFXW-mzQ
    (2024-01-30 10:41:03)
Percepção de recuperação de intervalo entre as séries. Inserir valor na célula ao lado direito</t>
      </text>
    </comment>
    <comment ref="AC71" authorId="0" shapeId="0">
      <text>
        <t>======
ID#AAABFXW-m_8
    (2024-01-30 10:41:03)
PR média obtida de todas as séries</t>
      </text>
    </comment>
    <comment ref="L73" authorId="0" shapeId="0">
      <text>
        <t>======
ID#AAABFXW-nBQ
    (2024-01-30 10:41:03)
sono obtido pela escala Hooper</t>
      </text>
    </comment>
    <comment ref="M73" authorId="0" shapeId="0">
      <text>
        <t>======
ID#AAABFXW-m10
    (2024-01-30 10:41:03)
estresse obtido pela escala Hooper</t>
      </text>
    </comment>
    <comment ref="N73" authorId="0" shapeId="0">
      <text>
        <t>======
ID#AAABESIuprI
    (2024-01-30 10:41:04)
fadiga obtida pela escala Hooper</t>
      </text>
    </comment>
    <comment ref="O73" authorId="0" shapeId="0">
      <text>
        <t>======
ID#AAABESIup4c
    (2024-01-30 10:41:04)
fadiga obtida pela escala Hooper</t>
      </text>
    </comment>
    <comment ref="Q73" authorId="0" shapeId="0">
      <text>
        <t>======
ID#AAABESIup8s
    (2024-01-30 10:41:04)
Média da escala Hooper obtida pelos valores de sono, estresse, fadiga e dor
1-2 =  bom estado de prontidão
3-5 = moderado estado de prontidão 6-7 = ruim estado de prntidão</t>
      </text>
    </comment>
    <comment ref="T73" authorId="0" shapeId="0">
      <text>
        <t>======
ID#AAABESIup-w
    (2024-01-30 10:41:04)
Valor em centímetros do Teste de salto vertical obtido pelo aplicativo My Jump</t>
      </text>
    </comment>
    <comment ref="A74" authorId="0" shapeId="0">
      <text>
        <t>Cardio: Esteira inclinada 30 min contínuo moderado</t>
      </text>
    </comment>
    <comment ref="E74" authorId="0" shapeId="0">
      <text>
        <t>======
ID#AAABFXW-nVU
    (2024-01-30 10:41:04)
Inserir data do treino</t>
      </text>
    </comment>
    <comment ref="A75" authorId="0" shapeId="0">
      <text>
        <t>======
ID#AAABFXW-nCI
    (2024-01-30 10:41:03)
Inserir abaixo os exercícios utilizados nesse dia</t>
      </text>
    </comment>
    <comment ref="AA75" authorId="0" shapeId="0">
      <text>
        <t>======
ID#AAABFXW-nNw
    (2024-01-30 10:41:04)
percentual de alteração da velocidade de movimento da série 2 versus série 1</t>
      </text>
    </comment>
    <comment ref="AB75" authorId="0" shapeId="0">
      <text>
        <t>======
ID#AAABESIup-Y
    (2024-01-30 10:41:04)
percentual de alteração da velocidade de movimento da série 3 versus série 1</t>
      </text>
    </comment>
    <comment ref="AC75" authorId="0" shapeId="0">
      <text>
        <t>======
ID#AAABESIuqEs
    (2024-01-30 10:41:04)
percentual de alteração da velocidade de movimento da série 4 versus série 1</t>
      </text>
    </comment>
    <comment ref="AD75" authorId="0" shapeId="0">
      <text>
        <t>======
ID#AAABFXW-nXA
    (2024-01-30 10:41:04)
percentual de alteração da velocidade de movimento da série 5 versus série 1</t>
      </text>
    </comment>
    <comment ref="AE75" authorId="0" shapeId="0">
      <text>
        <t>======
ID#AAABFXW-m3Y
    (2024-01-30 10:41:03)
Inserir abaixo o valor de PSE da sessão obtida 30 minutos após a sessão de treino</t>
      </text>
    </comment>
    <comment ref="AG75" authorId="0" shapeId="0">
      <text>
        <t>======
ID#AAABFXW-nRk
    (2024-01-30 10:41:04)
Volume total de treino da sessão</t>
      </text>
    </comment>
    <comment ref="AJ75" authorId="0" shapeId="0">
      <text>
        <t>======
ID#AAABESIup_I
    (2024-01-30 10:41:04)
Número de s</t>
      </text>
    </comment>
    <comment ref="B76" authorId="0" shapeId="0">
      <text>
        <t>======
ID#AAABFXW-m-Y
    (2024-01-30 10:41:03)
coloque as repetições da série</t>
      </text>
    </comment>
    <comment ref="C76" authorId="0" shapeId="0">
      <text>
        <t>======
ID#AAABESIup0Q
    (2024-01-30 10:41:04)
coloque o peso usado nessa série</t>
      </text>
    </comment>
    <comment ref="D76" authorId="0" shapeId="0">
      <text>
        <t>======
ID#AAABESIup-s
    (2024-01-30 10:41:04)
coloque a velocidade média em segundos usada nessa série (soma da ação concêntrica e excêntrica) obtida pelo metrônomo ou acelerômetro</t>
      </text>
    </comment>
    <comment ref="E76" authorId="0" shapeId="0">
      <text>
        <t>======
ID#AAABFXW-nQs
    (2024-01-30 10:41:04)
VTT
 Série x repetições x peso</t>
      </text>
    </comment>
    <comment ref="G76" authorId="0" shapeId="0">
      <text>
        <t>======
ID#AAABFXW-nSg
    (2024-01-30 10:41:04)
coloque as repetições da série</t>
      </text>
    </comment>
    <comment ref="H76" authorId="0" shapeId="0">
      <text>
        <t>======
ID#AAABESIupsU
    (2024-01-30 10:41:04)
coloque o peso usado nessa série</t>
      </text>
    </comment>
    <comment ref="I76" authorId="0" shapeId="0">
      <text>
        <t>======
ID#AAABESIupyI
    (2024-01-30 10:41:04)
coloque a velocidade média em segundos usada nessa série (soma da ação concêntrica e excêntrica) obtida pelo metrônomo ou acelerômetro</t>
      </text>
    </comment>
    <comment ref="J76" authorId="0" shapeId="0">
      <text>
        <t>======
ID#AAABESIupyM
    (2024-01-30 10:41:04)
VTT
 Série x repetições x peso</t>
      </text>
    </comment>
    <comment ref="L76" authorId="0" shapeId="0">
      <text>
        <t>======
ID#AAABFXW-nFk
    (2024-01-30 10:41:04)
coloque as repetições da série</t>
      </text>
    </comment>
    <comment ref="M76" authorId="0" shapeId="0">
      <text>
        <t>======
ID#AAABFXW-nXg
    (2024-01-30 10:41:04)
coloque o peso usado nessa série</t>
      </text>
    </comment>
    <comment ref="N76" authorId="0" shapeId="0">
      <text>
        <t>======
ID#AAABFXW-m-Q
    (2024-01-30 10:41:03)
coloque a velocidade média em segundos usada nessa série (soma da ação concêntrica e excêntrica) obtida pelo metrônomo ou acelerômetro</t>
      </text>
    </comment>
    <comment ref="O76" authorId="0" shapeId="0">
      <text>
        <t>======
ID#AAABFXW-nFw
    (2024-01-30 10:41:04)
VTT
 Série x repetições x peso</t>
      </text>
    </comment>
    <comment ref="Q76" authorId="0" shapeId="0">
      <text>
        <t>======
ID#AAABFXW-nLI
    (2024-01-30 10:41:04)
coloque as repetições da série</t>
      </text>
    </comment>
    <comment ref="R76" authorId="0" shapeId="0">
      <text>
        <t>======
ID#AAABFXW-nVY
    (2024-01-30 10:41:04)
coloque o peso usado nessa série</t>
      </text>
    </comment>
    <comment ref="S76" authorId="0" shapeId="0">
      <text>
        <t>======
ID#AAABESIupqU
    (2024-01-30 10:41:04)
coloque a velocidade média em segundos usada nessa série (soma da ação concêntrica e excêntrica) obtida pelo metrônomo ou acelerômetro</t>
      </text>
    </comment>
    <comment ref="T76" authorId="0" shapeId="0">
      <text>
        <t>======
ID#AAABESIupxA
    (2024-01-30 10:41:04)
VTT
 Série x repetições x peso</t>
      </text>
    </comment>
    <comment ref="V76" authorId="0" shapeId="0">
      <text>
        <t>======
ID#AAABFXW-nEo
    (2024-01-30 10:41:04)
coloque as repetições da série</t>
      </text>
    </comment>
    <comment ref="W76" authorId="0" shapeId="0">
      <text>
        <t>======
ID#AAABFXW-nSo
    (2024-01-30 10:41:04)
coloque o peso usado nessa série</t>
      </text>
    </comment>
    <comment ref="X76" authorId="0" shapeId="0">
      <text>
        <t>======
ID#AAABESIup14
    (2024-01-30 10:41:04)
coloque a velocidade média em segundos usada nessa série (soma da ação concêntrica e excêntrica) obtida pelo metrônomo ou acelerômetro</t>
      </text>
    </comment>
    <comment ref="Y76" authorId="0" shapeId="0">
      <text>
        <t>======
ID#AAABESIuqCw
    (2024-01-30 10:41:04)
VTT
 Série x repetições x peso</t>
      </text>
    </comment>
    <comment ref="AG78" authorId="0" shapeId="0">
      <text>
        <t>======
ID#AAABFXW-nHA
    (2024-01-30 10:41:04)
Inserir tempo total de sessão em minutos</t>
      </text>
    </comment>
    <comment ref="E89" authorId="0" shapeId="0">
      <text>
        <t>======
ID#AAABFXW-nDA
    (2024-01-30 10:41:04)
Percepção de recuperação de intervalo entre as séries. Inserir valor na célula ao lado direito</t>
      </text>
    </comment>
    <comment ref="J89" authorId="0" shapeId="0">
      <text>
        <t>======
ID#AAABESIupxU
    (2024-01-30 10:41:04)
Percepção de recuperação de intervalo entre as séries. Inserir valor na célula ao lado direito</t>
      </text>
    </comment>
    <comment ref="O89" authorId="0" shapeId="0">
      <text>
        <t>======
ID#AAABESIup4k
    (2024-01-30 10:41:04)
Percepção de recuperação de intervalo entre as séries. Inserir valor na célula ao lado direito</t>
      </text>
    </comment>
    <comment ref="T89" authorId="0" shapeId="0">
      <text>
        <t>======
ID#AAABFXW-mwo
    (2024-01-30 10:41:03)
Percepção de recuperação de intervalo entre as séries. Inserir valor na célula ao lado direito</t>
      </text>
    </comment>
    <comment ref="AC89" authorId="0" shapeId="0">
      <text>
        <t>======
ID#AAABESIupvE
    (2024-01-30 10:41:04)
PR média obtida de todas as séries</t>
      </text>
    </comment>
    <comment ref="L91" authorId="0" shapeId="0">
      <text>
        <t>======
ID#AAABFXW-nBg
    (2024-01-30 10:41:03)
sono obtido pela escala Hooper</t>
      </text>
    </comment>
    <comment ref="M91" authorId="0" shapeId="0">
      <text>
        <t>======
ID#AAABFXW-m8M
    (2024-01-30 10:41:03)
estresse obtido pela escala Hooper</t>
      </text>
    </comment>
    <comment ref="N91" authorId="0" shapeId="0">
      <text>
        <t>======
ID#AAABESIuqF8
    (2024-01-30 10:41:04)
fadiga obtida pela escala Hooper</t>
      </text>
    </comment>
    <comment ref="O91" authorId="0" shapeId="0">
      <text>
        <t>======
ID#AAABESIup9s
    (2024-01-30 10:41:04)
fadiga obtida pela escala Hooper</t>
      </text>
    </comment>
    <comment ref="Q91" authorId="0" shapeId="0">
      <text>
        <t>======
ID#AAABFXW-nS0
    (2024-01-30 10:41:04)
Média da escala Hooper obtida pelos valores de sono, estresse, fadiga e dor
1-2 =  bom estado de prontidão
3-5 = moderado estado de prontidão 6-7 = ruim estado de prntidão</t>
      </text>
    </comment>
    <comment ref="T91" authorId="0" shapeId="0">
      <text>
        <t>======
ID#AAABESIuqG8
    (2024-01-30 10:41:04)
Valor em centímetros do Teste de salto vertical obtido pelo aplicativo My Jump</t>
      </text>
    </comment>
    <comment ref="A92" authorId="0" shapeId="0">
      <text>
        <t>Cardio: Intervalado esteira 10x(30s forte/30s leve) + 10 min contínuo</t>
      </text>
    </comment>
    <comment ref="E92" authorId="0" shapeId="0">
      <text>
        <t>======
ID#AAABESIupzk
    (2024-01-30 10:41:04)
Inserir data do treino</t>
      </text>
    </comment>
    <comment ref="A93" authorId="0" shapeId="0">
      <text>
        <t>======
ID#AAABESIup2c
    (2024-01-30 10:41:04)
Inserir abaixo os exercícios utilizados nesse dia</t>
      </text>
    </comment>
    <comment ref="AA93" authorId="0" shapeId="0">
      <text>
        <t>======
ID#AAABFXW-m00
    (2024-01-30 10:41:03)
percentual de alteração da velocidade de movimento da série 2 versus série 1</t>
      </text>
    </comment>
    <comment ref="AB93" authorId="0" shapeId="0">
      <text>
        <t>======
ID#AAABESIup5k
    (2024-01-30 10:41:04)
percentual de alteração da velocidade de movimento da série 3 versus série 1</t>
      </text>
    </comment>
    <comment ref="AC93" authorId="0" shapeId="0">
      <text>
        <t>======
ID#AAABFXW-nD0
    (2024-01-30 10:41:04)
percentual de alteração da velocidade de movimento da série 4 versus série 1</t>
      </text>
    </comment>
    <comment ref="AD93" authorId="0" shapeId="0">
      <text>
        <t>======
ID#AAABFXW-nC4
    (2024-01-30 10:41:03)
percentual de alteração da velocidade de movimento da série 5 versus série 1</t>
      </text>
    </comment>
    <comment ref="AE93" authorId="0" shapeId="0">
      <text>
        <t>======
ID#AAABESIuptc
    (2024-01-30 10:41:04)
Inserir abaixo o valor de PSE da sessão obtida 30 minutos após a sessão de treino</t>
      </text>
    </comment>
    <comment ref="AG93" authorId="0" shapeId="0">
      <text>
        <t>======
ID#AAABFXW-m4I
    (2024-01-30 10:41:03)
Volume total de treino da sessão</t>
      </text>
    </comment>
    <comment ref="AJ93" authorId="0" shapeId="0">
      <text>
        <t>======
ID#AAABFXW-nSQ
    (2024-01-30 10:41:04)
Número de s</t>
      </text>
    </comment>
    <comment ref="B94" authorId="0" shapeId="0">
      <text>
        <t>======
ID#AAABFXW-nHE
    (2024-01-30 10:41:04)
coloque as repetições da série</t>
      </text>
    </comment>
    <comment ref="C94" authorId="0" shapeId="0">
      <text>
        <t>======
ID#AAABESIup6A
    (2024-01-30 10:41:04)
coloque o peso usado nessa série</t>
      </text>
    </comment>
    <comment ref="D94" authorId="0" shapeId="0">
      <text>
        <t>======
ID#AAABFXW-nDw
    (2024-01-30 10:41:04)
coloque a velocidade média em segundos usada nessa série (soma da ação concêntrica e excêntrica) obtida pelo metrônomo ou acelerômetro</t>
      </text>
    </comment>
    <comment ref="E94" authorId="0" shapeId="0">
      <text>
        <t>======
ID#AAABESIuqAA
    (2024-01-30 10:41:04)
VTT
 Série x repetições x peso</t>
      </text>
    </comment>
    <comment ref="G94" authorId="0" shapeId="0">
      <text>
        <t>======
ID#AAABFXW-nKo
    (2024-01-30 10:41:04)
coloque as repetições da série</t>
      </text>
    </comment>
    <comment ref="H94" authorId="0" shapeId="0">
      <text>
        <t>======
ID#AAABESIuqBQ
    (2024-01-30 10:41:04)
coloque o peso usado nessa série</t>
      </text>
    </comment>
    <comment ref="I94" authorId="0" shapeId="0">
      <text>
        <t>======
ID#AAABESIupv0
    (2024-01-30 10:41:04)
coloque a velocidade média em segundos usada nessa série (soma da ação concêntrica e excêntrica) obtida pelo metrônomo ou acelerômetro</t>
      </text>
    </comment>
    <comment ref="J94" authorId="0" shapeId="0">
      <text>
        <t>======
ID#AAABFXW-nW0
    (2024-01-30 10:41:04)
VTT
 Série x repetições x peso</t>
      </text>
    </comment>
    <comment ref="L94" authorId="0" shapeId="0">
      <text>
        <t>======
ID#AAABESIup2E
    (2024-01-30 10:41:04)
coloque as repetições da série</t>
      </text>
    </comment>
    <comment ref="M94" authorId="0" shapeId="0">
      <text>
        <t>======
ID#AAABFXW-nPk
    (2024-01-30 10:41:04)
coloque o peso usado nessa série</t>
      </text>
    </comment>
    <comment ref="N94" authorId="0" shapeId="0">
      <text>
        <t>======
ID#AAABFXW-nFY
    (2024-01-30 10:41:04)
coloque a velocidade média em segundos usada nessa série (soma da ação concêntrica e excêntrica) obtida pelo metrônomo ou acelerômetro</t>
      </text>
    </comment>
    <comment ref="O94" authorId="0" shapeId="0">
      <text>
        <t>======
ID#AAABFXW-nJU
    (2024-01-30 10:41:04)
VTT
 Série x repetições x peso</t>
      </text>
    </comment>
    <comment ref="Q94" authorId="0" shapeId="0">
      <text>
        <t>======
ID#AAABFXW-m_0
    (2024-01-30 10:41:03)
coloque as repetições da série</t>
      </text>
    </comment>
    <comment ref="R94" authorId="0" shapeId="0">
      <text>
        <t>======
ID#AAABESIup7w
    (2024-01-30 10:41:04)
coloque o peso usado nessa série</t>
      </text>
    </comment>
    <comment ref="S94" authorId="0" shapeId="0">
      <text>
        <t>======
ID#AAABFXW-nLQ
    (2024-01-30 10:41:04)
coloque a velocidade média em segundos usada nessa série (soma da ação concêntrica e excêntrica) obtida pelo metrônomo ou acelerômetro</t>
      </text>
    </comment>
    <comment ref="T94" authorId="0" shapeId="0">
      <text>
        <t>======
ID#AAABFXW-nEI
    (2024-01-30 10:41:04)
VTT
 Série x repetições x peso</t>
      </text>
    </comment>
    <comment ref="V94" authorId="0" shapeId="0">
      <text>
        <t>======
ID#AAABFXW-nHo
    (2024-01-30 10:41:04)
coloque as repetições da série</t>
      </text>
    </comment>
    <comment ref="W94" authorId="0" shapeId="0">
      <text>
        <t>======
ID#AAABESIupuA
    (2024-01-30 10:41:04)
coloque o peso usado nessa série</t>
      </text>
    </comment>
    <comment ref="X94" authorId="0" shapeId="0">
      <text>
        <t>======
ID#AAABESIup4I
    (2024-01-30 10:41:04)
coloque a velocidade média em segundos usada nessa série (soma da ação concêntrica e excêntrica) obtida pelo metrônomo ou acelerômetro</t>
      </text>
    </comment>
    <comment ref="Y94" authorId="0" shapeId="0">
      <text>
        <t>======
ID#AAABFXW-nGE
    (2024-01-30 10:41:04)
VTT
 Série x repetições x peso</t>
      </text>
    </comment>
    <comment ref="AG96" authorId="0" shapeId="0">
      <text>
        <t>======
ID#AAABFXW-nQg
    (2024-01-30 10:41:04)
Inserir tempo total de sessão em minutos</t>
      </text>
    </comment>
    <comment ref="E107" authorId="0" shapeId="0">
      <text>
        <t>======
ID#AAABFXW-nTE
    (2024-01-30 10:41:04)
Percepção de recuperação de intervalo entre as séries. Inserir valor na célula ao lado direito</t>
      </text>
    </comment>
    <comment ref="J107" authorId="0" shapeId="0">
      <text>
        <t>======
ID#AAABFXW-nX0
    (2024-01-30 10:41:04)
Percepção de recuperação de intervalo entre as séries. Inserir valor na célula ao lado direito</t>
      </text>
    </comment>
    <comment ref="O107" authorId="0" shapeId="0">
      <text>
        <t>======
ID#AAABFXW-nQ8
    (2024-01-30 10:41:04)
Percepção de recuperação de intervalo entre as séries. Inserir valor na célula ao lado direito</t>
      </text>
    </comment>
    <comment ref="T107" authorId="0" shapeId="0">
      <text>
        <t>======
ID#AAABFXW-nTQ
    (2024-01-30 10:41:04)
Percepção de recuperação de intervalo entre as séries. Inserir valor na célula ao lado direito</t>
      </text>
    </comment>
    <comment ref="AC107" authorId="0" shapeId="0">
      <text>
        <t>======
ID#AAABESIuqCc
    (2024-01-30 10:41:04)
PR média obtida de todas as séries</t>
      </text>
    </comment>
    <comment ref="L109" authorId="0" shapeId="0">
      <text>
        <t>======
ID#AAABESIuqG4
    (2024-01-30 10:41:04)
sono obtido pela escala Hooper</t>
      </text>
    </comment>
    <comment ref="M109" authorId="0" shapeId="0">
      <text>
        <t>======
ID#AAABESIup5Q
    (2024-01-30 10:41:04)
estresse obtido pela escala Hooper</t>
      </text>
    </comment>
    <comment ref="N109" authorId="0" shapeId="0">
      <text>
        <t>======
ID#AAABFXW-m_s
    (2024-01-30 10:41:03)
fadiga obtida pela escala Hooper</t>
      </text>
    </comment>
    <comment ref="O109" authorId="0" shapeId="0">
      <text>
        <t>======
ID#AAABESIupp4
    (2024-01-30 10:41:04)
fadiga obtida pela escala Hooper</t>
      </text>
    </comment>
    <comment ref="Q109" authorId="0" shapeId="0">
      <text>
        <t>======
ID#AAABESIupqk
    (2024-01-30 10:41:04)
Média da escala Hooper obtida pelos valores de sono, estresse, fadiga e dor
1-2 =  bom estado de prontidão
3-5 = moderado estado de prontidão 6-7 = ruim estado de prntidão</t>
      </text>
    </comment>
    <comment ref="T109" authorId="0" shapeId="0">
      <text>
        <t>======
ID#AAABESIupzA
    (2024-01-30 10:41:04)
Valor em centímetros do Teste de salto vertical obtido pelo aplicativo My Jump</t>
      </text>
    </comment>
    <comment ref="E110" authorId="0" shapeId="0">
      <text>
        <t>======
ID#AAABFXW-nVE
    (2024-01-30 10:41:04)
Inserir data do treino</t>
      </text>
    </comment>
    <comment ref="A111" authorId="0" shapeId="0">
      <text>
        <t>======
ID#AAABFXW-m1c
    (2024-01-30 10:41:03)
Inserir abaixo os exercícios utilizados nesse dia</t>
      </text>
    </comment>
    <comment ref="AA111" authorId="0" shapeId="0">
      <text>
        <t>======
ID#AAABFXW-m7o
    (2024-01-30 10:41:03)
percentual de alteração da velocidade de movimento da série 2 versus série 1</t>
      </text>
    </comment>
    <comment ref="AB111" authorId="0" shapeId="0">
      <text>
        <t>======
ID#AAABESIup2Y
    (2024-01-30 10:41:04)
percentual de alteração da velocidade de movimento da série 3 versus série 1</t>
      </text>
    </comment>
    <comment ref="AC111" authorId="0" shapeId="0">
      <text>
        <t>======
ID#AAABESIup3w
    (2024-01-30 10:41:04)
percentual de alteração da velocidade de movimento da série 4 versus série 1</t>
      </text>
    </comment>
    <comment ref="AD111" authorId="0" shapeId="0">
      <text>
        <t>======
ID#AAABFXW-m5k
    (2024-01-30 10:41:03)
percentual de alteração da velocidade de movimento da série 5 versus série 1</t>
      </text>
    </comment>
    <comment ref="AE111" authorId="0" shapeId="0">
      <text>
        <t>======
ID#AAABESIup0w
    (2024-01-30 10:41:04)
Inserir abaixo o valor de PSE da sessão obtida 30 minutos após a sessão de treino</t>
      </text>
    </comment>
    <comment ref="AG111" authorId="0" shapeId="0">
      <text>
        <t>======
ID#AAABESIup-c
    (2024-01-30 10:41:04)
Volume total de treino da sessão</t>
      </text>
    </comment>
    <comment ref="AJ111" authorId="0" shapeId="0">
      <text>
        <t>======
ID#AAABFXW-nCA
    (2024-01-30 10:41:03)
Número de s</t>
      </text>
    </comment>
    <comment ref="B112" authorId="0" shapeId="0">
      <text>
        <t>======
ID#AAABESIup-o
    (2024-01-30 10:41:04)
coloque as repetições da série</t>
      </text>
    </comment>
    <comment ref="C112" authorId="0" shapeId="0">
      <text>
        <t>======
ID#AAABFXW-m90
    (2024-01-30 10:41:03)
coloque o peso usado nessa série</t>
      </text>
    </comment>
    <comment ref="D112" authorId="0" shapeId="0">
      <text>
        <t>======
ID#AAABFXW-nGI
    (2024-01-30 10:41:04)
coloque a velocidade média em segundos usada nessa série (soma da ação concêntrica e excêntrica) obtida pelo metrônomo ou acelerômetro</t>
      </text>
    </comment>
    <comment ref="E112" authorId="0" shapeId="0">
      <text>
        <t>======
ID#AAABESIupvc
    (2024-01-30 10:41:04)
VTT
 Série x repetições x peso</t>
      </text>
    </comment>
    <comment ref="G112" authorId="0" shapeId="0">
      <text>
        <t>======
ID#AAABESIup9w
    (2024-01-30 10:41:04)
coloque as repetições da série</t>
      </text>
    </comment>
    <comment ref="H112" authorId="0" shapeId="0">
      <text>
        <t>======
ID#AAABESIup5M
    (2024-01-30 10:41:04)
coloque o peso usado nessa série</t>
      </text>
    </comment>
    <comment ref="I112" authorId="0" shapeId="0">
      <text>
        <t>======
ID#AAABESIuqDQ
    (2024-01-30 10:41:04)
coloque a velocidade média em segundos usada nessa série (soma da ação concêntrica e excêntrica) obtida pelo metrônomo ou acelerômetro</t>
      </text>
    </comment>
    <comment ref="J112" authorId="0" shapeId="0">
      <text>
        <t>======
ID#AAABESIuqC0
    (2024-01-30 10:41:04)
VTT
 Série x repetições x peso</t>
      </text>
    </comment>
    <comment ref="L112" authorId="0" shapeId="0">
      <text>
        <t>======
ID#AAABESIupzI
    (2024-01-30 10:41:04)
coloque as repetições da série</t>
      </text>
    </comment>
    <comment ref="M112" authorId="0" shapeId="0">
      <text>
        <t>======
ID#AAABFXW-m1g
    (2024-01-30 10:41:03)
coloque o peso usado nessa série</t>
      </text>
    </comment>
    <comment ref="N112" authorId="0" shapeId="0">
      <text>
        <t>======
ID#AAABFXW-m6U
    (2024-01-30 10:41:03)
coloque a velocidade média em segundos usada nessa série (soma da ação concêntrica e excêntrica) obtida pelo metrônomo ou acelerômetro</t>
      </text>
    </comment>
    <comment ref="O112" authorId="0" shapeId="0">
      <text>
        <t>======
ID#AAABESIuqFc
    (2024-01-30 10:41:04)
VTT
 Série x repetições x peso</t>
      </text>
    </comment>
    <comment ref="Q112" authorId="0" shapeId="0">
      <text>
        <t>======
ID#AAABFXW-m-8
    (2024-01-30 10:41:03)
coloque as repetições da série</t>
      </text>
    </comment>
    <comment ref="R112" authorId="0" shapeId="0">
      <text>
        <t>======
ID#AAABFXW-nJE
    (2024-01-30 10:41:04)
coloque o peso usado nessa série</t>
      </text>
    </comment>
    <comment ref="S112" authorId="0" shapeId="0">
      <text>
        <t>======
ID#AAABFXW-m5Q
    (2024-01-30 10:41:03)
coloque a velocidade média em segundos usada nessa série (soma da ação concêntrica e excêntrica) obtida pelo metrônomo ou acelerômetro</t>
      </text>
    </comment>
    <comment ref="T112" authorId="0" shapeId="0">
      <text>
        <t>======
ID#AAABFXW-m-s
    (2024-01-30 10:41:03)
VTT
 Série x repetições x peso</t>
      </text>
    </comment>
    <comment ref="V112" authorId="0" shapeId="0">
      <text>
        <t>======
ID#AAABFXW-myM
    (2024-01-30 10:41:03)
coloque as repetições da série</t>
      </text>
    </comment>
    <comment ref="W112" authorId="0" shapeId="0">
      <text>
        <t>======
ID#AAABFXW-mxQ
    (2024-01-30 10:41:03)
coloque o peso usado nessa série</t>
      </text>
    </comment>
    <comment ref="X112" authorId="0" shapeId="0">
      <text>
        <t>======
ID#AAABESIupxY
    (2024-01-30 10:41:04)
coloque a velocidade média em segundos usada nessa série (soma da ação concêntrica e excêntrica) obtida pelo metrônomo ou acelerômetro</t>
      </text>
    </comment>
    <comment ref="Y112" authorId="0" shapeId="0">
      <text>
        <t>======
ID#AAABESIup40
    (2024-01-30 10:41:04)
VTT
 Série x repetições x peso</t>
      </text>
    </comment>
    <comment ref="AG114" authorId="0" shapeId="0">
      <text>
        <t>======
ID#AAABESIupwo
    (2024-01-30 10:41:04)
Inserir tempo total de sessão em minutos</t>
      </text>
    </comment>
    <comment ref="E125" authorId="0" shapeId="0">
      <text>
        <t>======
ID#AAABFXW-m1Q
    (2024-01-30 10:41:03)
Percepção de recuperação de intervalo entre as séries. Inserir valor na célula ao lado direito</t>
      </text>
    </comment>
    <comment ref="J125" authorId="0" shapeId="0">
      <text>
        <t>======
ID#AAABESIup5I
    (2024-01-30 10:41:04)
Percepção de recuperação de intervalo entre as séries. Inserir valor na célula ao lado direito</t>
      </text>
    </comment>
    <comment ref="O125" authorId="0" shapeId="0">
      <text>
        <t>======
ID#AAABESIuqDY
    (2024-01-30 10:41:04)
Percepção de recuperação de intervalo entre as séries. Inserir valor na célula ao lado direito</t>
      </text>
    </comment>
    <comment ref="T125" authorId="0" shapeId="0">
      <text>
        <t>======
ID#AAABFXW-m5w
    (2024-01-30 10:41:03)
Percepção de recuperação de intervalo entre as séries. Inserir valor na célula ao lado direito</t>
      </text>
    </comment>
    <comment ref="AC125" authorId="0" shapeId="0">
      <text>
        <t>======
ID#AAABFXW-nL0
    (2024-01-30 10:41:04)
PR média obtida de todas as séries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523800</colOff>
      <row>28</row>
      <rowOff>55440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16</col>
      <colOff>0</colOff>
      <row>0</row>
      <rowOff>19080</rowOff>
    </from>
    <to>
      <col>20</col>
      <colOff>958320</colOff>
      <row>28</row>
      <rowOff>65160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266760</colOff>
      <row>0</row>
      <rowOff>28440</rowOff>
    </from>
    <to>
      <col>27</col>
      <colOff>268920</colOff>
      <row>17</row>
      <rowOff>36000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228600</colOff>
      <row>16</row>
      <rowOff>171360</rowOff>
    </from>
    <to>
      <col>27</col>
      <colOff>268920</colOff>
      <row>39</row>
      <rowOff>36360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66600</colOff>
      <row>0</row>
      <rowOff>85680</rowOff>
    </from>
    <to>
      <col>9</col>
      <colOff>720000</colOff>
      <row>19</row>
      <rowOff>102960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2:U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84" min="1" max="21"/>
  </cols>
  <sheetData>
    <row r="1" ht="6" customHeight="1" s="85"/>
    <row r="2" ht="15" customHeight="1" s="85">
      <c r="A2" s="86" t="inlineStr">
        <is>
          <t>Os dados devem ser preenchidos nas abas (SEM 1, SEM 2, SEM 3 e SEM 4). Os resultados serão obtidos a partir desse prenchimento e visualizados em tabelas e gráficos. As escalas estão disponíveis abaixo: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</row>
    <row r="3" ht="15" customHeight="1" s="85">
      <c r="A3" s="88" t="n"/>
    </row>
    <row r="4" ht="21" customHeight="1" s="85">
      <c r="A4" s="89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0" t="n"/>
      <c r="S4" s="90" t="n"/>
      <c r="T4" s="90" t="n"/>
      <c r="U4" s="90" t="n"/>
    </row>
    <row r="5" ht="15" customHeight="1" s="85">
      <c r="A5" s="91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</row>
    <row r="6" ht="15" customHeight="1" s="85">
      <c r="A6" s="91" t="n"/>
      <c r="B6" s="91" t="n"/>
      <c r="C6" s="91" t="n"/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</row>
    <row r="7" ht="15" customHeight="1" s="85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</row>
    <row r="8" ht="15" customHeight="1" s="85">
      <c r="A8" s="91" t="n"/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91" t="n"/>
    </row>
    <row r="9" ht="15" customHeight="1" s="85">
      <c r="A9" s="91" t="n"/>
      <c r="B9" s="91" t="n"/>
      <c r="C9" s="91" t="n"/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91" t="n"/>
    </row>
    <row r="10" ht="15" customHeight="1" s="85">
      <c r="A10" s="91" t="n"/>
      <c r="B10" s="91" t="n"/>
      <c r="C10" s="91" t="n"/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</row>
    <row r="11" ht="15" customHeight="1" s="85">
      <c r="A11" s="91" t="n"/>
      <c r="B11" s="91" t="n"/>
      <c r="C11" s="91" t="n"/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91" t="n"/>
    </row>
    <row r="12" ht="15" customHeight="1" s="85">
      <c r="A12" s="91" t="n"/>
      <c r="B12" s="91" t="n"/>
      <c r="C12" s="91" t="n"/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</row>
    <row r="13" ht="15" customHeight="1" s="85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</row>
    <row r="14" ht="15" customHeight="1" s="85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</row>
    <row r="15" ht="15" customHeight="1" s="85">
      <c r="A15" s="91" t="n"/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</row>
    <row r="16" ht="15" customHeight="1" s="85">
      <c r="A16" s="91" t="n"/>
      <c r="B16" s="91" t="n"/>
      <c r="C16" s="91" t="n"/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</row>
    <row r="17" ht="15" customHeight="1" s="85">
      <c r="A17" s="91" t="n"/>
      <c r="B17" s="91" t="n"/>
      <c r="C17" s="91" t="n"/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91" t="n"/>
    </row>
    <row r="18" ht="15" customHeight="1" s="85">
      <c r="A18" s="91" t="n"/>
      <c r="B18" s="91" t="n"/>
      <c r="C18" s="91" t="n"/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</row>
    <row r="19" ht="15" customHeight="1" s="85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</row>
    <row r="20" ht="15" customHeight="1" s="85">
      <c r="A20" s="91" t="n"/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</row>
    <row r="21" ht="15" customHeight="1" s="85">
      <c r="A21" s="91" t="n"/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</row>
    <row r="22" ht="15" customHeight="1" s="85">
      <c r="A22" s="91" t="n"/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91" t="n"/>
    </row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2:U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29"/>
    <col width="7.16" customWidth="1" style="84" min="30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1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98" t="inlineStr">
        <is>
          <t>SEGUNDA-FEIRA</t>
        </is>
      </c>
      <c r="B2" s="93" t="n"/>
      <c r="C2" s="99" t="inlineStr">
        <is>
          <t>DATA</t>
        </is>
      </c>
      <c r="D2" s="100" t="n"/>
      <c r="E2" s="101" t="n">
        <v>45600</v>
      </c>
      <c r="F2" s="102" t="n"/>
      <c r="G2" s="102" t="n"/>
      <c r="H2" s="103" t="n"/>
      <c r="I2" s="93" t="n"/>
      <c r="J2" s="93" t="n"/>
      <c r="K2" s="93" t="n"/>
      <c r="L2" s="94" t="n">
        <v>5</v>
      </c>
      <c r="M2" s="94" t="n">
        <v>5</v>
      </c>
      <c r="N2" s="94" t="n">
        <v>5</v>
      </c>
      <c r="O2" s="94" t="n">
        <v>5</v>
      </c>
      <c r="P2" s="93" t="n"/>
      <c r="Q2" s="104">
        <f>IFERROR(AVERAGE(L2:O2),"")</f>
        <v/>
      </c>
      <c r="R2" s="103" t="n"/>
      <c r="S2" s="105">
        <f>Q2</f>
        <v/>
      </c>
      <c r="T2" s="94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98">
        <f>SUM(E18+J18+O18+T18+Y18)</f>
        <v/>
      </c>
      <c r="AH4" s="103" t="n"/>
      <c r="AI4" s="97" t="n"/>
      <c r="AJ4" s="98">
        <f>AE5*AG7</f>
        <v/>
      </c>
      <c r="AK4" s="102" t="n"/>
      <c r="AL4" s="103" t="n"/>
      <c r="AM4" s="97" t="n"/>
      <c r="AN4" s="97" t="n"/>
      <c r="AO4" s="97" t="n"/>
      <c r="AP4" s="97" t="n"/>
      <c r="AQ4" s="97" t="n"/>
    </row>
    <row r="5" ht="21" customHeight="1" s="85">
      <c r="A5" s="121" t="inlineStr">
        <is>
          <t>Leg Press 45</t>
        </is>
      </c>
      <c r="B5" s="121" t="n">
        <v>12</v>
      </c>
      <c r="C5" s="121" t="n">
        <v>100</v>
      </c>
      <c r="D5" s="121" t="n">
        <v>2</v>
      </c>
      <c r="E5" s="121" t="n"/>
      <c r="F5" s="93" t="n"/>
      <c r="G5" s="121" t="n">
        <v>12</v>
      </c>
      <c r="H5" s="121" t="n">
        <v>100</v>
      </c>
      <c r="I5" s="121" t="n">
        <v>2</v>
      </c>
      <c r="J5" s="121">
        <f>G5*H5</f>
        <v/>
      </c>
      <c r="K5" s="93" t="n"/>
      <c r="L5" s="121" t="n">
        <v>12</v>
      </c>
      <c r="M5" s="121" t="n">
        <v>100</v>
      </c>
      <c r="N5" s="121" t="n">
        <v>2</v>
      </c>
      <c r="O5" s="121">
        <f>L5*M5</f>
        <v/>
      </c>
      <c r="P5" s="93" t="n"/>
      <c r="Q5" s="121" t="n">
        <v>12</v>
      </c>
      <c r="R5" s="121" t="n">
        <v>100</v>
      </c>
      <c r="S5" s="121" t="n">
        <v>2</v>
      </c>
      <c r="T5" s="121">
        <f>Q5*R5</f>
        <v/>
      </c>
      <c r="U5" s="93" t="n"/>
      <c r="V5" s="121" t="n"/>
      <c r="W5" s="121" t="n"/>
      <c r="X5" s="121" t="n"/>
      <c r="Y5" s="121">
        <f>V5*W5</f>
        <v/>
      </c>
      <c r="Z5" s="93" t="n"/>
      <c r="AA5" s="122">
        <f>IFERROR(((I5-D5)/D5)*100,"")</f>
        <v/>
      </c>
      <c r="AB5" s="122">
        <f>IFERROR(((N5-D5)/D5)*100,"")</f>
        <v/>
      </c>
      <c r="AC5" s="122">
        <f>IFERROR(((S5-D5)/D5)*100,"")</f>
        <v/>
      </c>
      <c r="AD5" s="122">
        <f>IFERROR(((X5-D5)/D5)*100,"")</f>
        <v/>
      </c>
      <c r="AE5" s="123" t="n">
        <v>7</v>
      </c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n"/>
      <c r="B6" s="124" t="n"/>
      <c r="C6" s="124" t="n"/>
      <c r="D6" s="121" t="n"/>
      <c r="E6" s="124">
        <f>B6*C6</f>
        <v/>
      </c>
      <c r="F6" s="93" t="n"/>
      <c r="G6" s="124" t="n"/>
      <c r="H6" s="124" t="n"/>
      <c r="I6" s="121" t="n"/>
      <c r="J6" s="124">
        <f>G6*H6</f>
        <v/>
      </c>
      <c r="K6" s="93" t="n"/>
      <c r="L6" s="124" t="n"/>
      <c r="M6" s="124" t="n"/>
      <c r="N6" s="121" t="n"/>
      <c r="O6" s="124">
        <f>L6*M6</f>
        <v/>
      </c>
      <c r="P6" s="93" t="n"/>
      <c r="Q6" s="124" t="n"/>
      <c r="R6" s="124" t="n"/>
      <c r="S6" s="121" t="n"/>
      <c r="T6" s="124">
        <f>Q6*R6</f>
        <v/>
      </c>
      <c r="U6" s="93" t="n"/>
      <c r="V6" s="124" t="n"/>
      <c r="W6" s="124" t="n"/>
      <c r="X6" s="121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n"/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>
        <v>50</v>
      </c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n"/>
      <c r="B8" s="124" t="n"/>
      <c r="C8" s="124" t="n"/>
      <c r="D8" s="121" t="n"/>
      <c r="E8" s="124">
        <f>B8*C8</f>
        <v/>
      </c>
      <c r="F8" s="93" t="n"/>
      <c r="G8" s="124" t="n"/>
      <c r="H8" s="124" t="n"/>
      <c r="I8" s="121" t="n"/>
      <c r="J8" s="124">
        <f>G8*H8</f>
        <v/>
      </c>
      <c r="K8" s="93" t="n"/>
      <c r="L8" s="124" t="n"/>
      <c r="M8" s="124" t="n"/>
      <c r="N8" s="121" t="n"/>
      <c r="O8" s="124">
        <f>L8*M8</f>
        <v/>
      </c>
      <c r="P8" s="93" t="n"/>
      <c r="Q8" s="124" t="n"/>
      <c r="R8" s="124" t="n"/>
      <c r="S8" s="121" t="n"/>
      <c r="T8" s="124">
        <f>Q8*R8</f>
        <v/>
      </c>
      <c r="U8" s="93" t="n"/>
      <c r="V8" s="124" t="n"/>
      <c r="W8" s="124" t="n"/>
      <c r="X8" s="121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n"/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130" t="n"/>
      <c r="AH9" s="130" t="n"/>
      <c r="AI9" s="130" t="n"/>
      <c r="AJ9" s="130" t="n"/>
      <c r="AK9" s="130" t="n"/>
      <c r="AL9" s="130" t="n"/>
      <c r="AM9" s="97" t="n"/>
      <c r="AN9" s="97" t="n"/>
      <c r="AO9" s="97" t="n"/>
      <c r="AP9" s="97" t="n"/>
      <c r="AQ9" s="97" t="n"/>
    </row>
    <row r="10" ht="21" customHeight="1" s="85">
      <c r="A10" s="124" t="n"/>
      <c r="B10" s="124" t="n"/>
      <c r="C10" s="124" t="n"/>
      <c r="D10" s="121" t="n"/>
      <c r="E10" s="124">
        <f>B10*C10</f>
        <v/>
      </c>
      <c r="F10" s="93" t="n"/>
      <c r="G10" s="124" t="n"/>
      <c r="H10" s="124" t="n"/>
      <c r="I10" s="121" t="n"/>
      <c r="J10" s="124">
        <f>G10*H10</f>
        <v/>
      </c>
      <c r="K10" s="93" t="n"/>
      <c r="L10" s="124" t="n"/>
      <c r="M10" s="124" t="n"/>
      <c r="N10" s="121" t="n"/>
      <c r="O10" s="124">
        <f>L10*M10</f>
        <v/>
      </c>
      <c r="P10" s="93" t="n"/>
      <c r="Q10" s="124" t="n"/>
      <c r="R10" s="124" t="n"/>
      <c r="S10" s="121" t="n"/>
      <c r="T10" s="124">
        <f>Q10*R10</f>
        <v/>
      </c>
      <c r="U10" s="93" t="n"/>
      <c r="V10" s="124" t="n"/>
      <c r="W10" s="124" t="n"/>
      <c r="X10" s="121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130" t="n"/>
      <c r="AH10" s="130" t="n"/>
      <c r="AI10" s="130" t="n"/>
      <c r="AJ10" s="130" t="n"/>
      <c r="AK10" s="130" t="n"/>
      <c r="AL10" s="130" t="n"/>
      <c r="AM10" s="97" t="n"/>
      <c r="AN10" s="97" t="n"/>
      <c r="AO10" s="97" t="n"/>
      <c r="AP10" s="97" t="n"/>
      <c r="AQ10" s="97" t="n"/>
    </row>
    <row r="11" ht="21" customHeight="1" s="85">
      <c r="A11" s="121" t="n"/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n"/>
      <c r="B12" s="124" t="n"/>
      <c r="C12" s="124" t="n"/>
      <c r="D12" s="121" t="n"/>
      <c r="E12" s="124">
        <f>B12*C12</f>
        <v/>
      </c>
      <c r="F12" s="93" t="n"/>
      <c r="G12" s="124" t="n"/>
      <c r="H12" s="124" t="n"/>
      <c r="I12" s="121" t="n"/>
      <c r="J12" s="124">
        <f>G12*H12</f>
        <v/>
      </c>
      <c r="K12" s="93" t="n"/>
      <c r="L12" s="124" t="n"/>
      <c r="M12" s="124" t="n"/>
      <c r="N12" s="121" t="n"/>
      <c r="O12" s="124">
        <f>L12*M12</f>
        <v/>
      </c>
      <c r="P12" s="93" t="n"/>
      <c r="Q12" s="124" t="n"/>
      <c r="R12" s="124" t="n"/>
      <c r="S12" s="121" t="n"/>
      <c r="T12" s="124">
        <f>Q12*R12</f>
        <v/>
      </c>
      <c r="U12" s="93" t="n"/>
      <c r="V12" s="124" t="n"/>
      <c r="W12" s="124" t="n"/>
      <c r="X12" s="121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131" t="n"/>
      <c r="AH12" s="131" t="n"/>
      <c r="AI12" s="131" t="n"/>
      <c r="AJ12" s="131" t="n"/>
      <c r="AK12" s="131" t="n"/>
      <c r="AL12" s="131" t="n"/>
      <c r="AM12" s="97" t="n"/>
      <c r="AN12" s="97" t="n"/>
      <c r="AO12" s="97" t="n"/>
      <c r="AP12" s="97" t="n"/>
      <c r="AQ12" s="97" t="n"/>
    </row>
    <row r="13" ht="21" customHeight="1" s="85">
      <c r="A13" s="121" t="n"/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132" t="n"/>
      <c r="AH13" s="132" t="n"/>
      <c r="AI13" s="132" t="n"/>
      <c r="AJ13" s="132" t="n"/>
      <c r="AK13" s="132" t="n"/>
      <c r="AL13" s="132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33" t="n"/>
      <c r="AH14" s="133" t="n"/>
      <c r="AI14" s="133" t="n"/>
      <c r="AJ14" s="133" t="n"/>
      <c r="AK14" s="133" t="n"/>
      <c r="AL14" s="133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5" t="n"/>
      <c r="AI15" s="135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36">
        <f>IFERROR(((X16-D16)/D16)*100,"")</f>
        <v/>
      </c>
      <c r="AE16" s="137" t="n"/>
      <c r="AF16" s="97" t="n"/>
      <c r="AG16" s="92" t="n"/>
      <c r="AH16" s="130" t="n"/>
      <c r="AI16" s="130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122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inlineStr">
        <is>
          <t>Mobilidade</t>
        </is>
      </c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44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n"/>
      <c r="B24" s="124" t="n"/>
      <c r="C24" s="124" t="n"/>
      <c r="D24" s="121" t="n"/>
      <c r="E24" s="124">
        <f>B24*C24</f>
        <v/>
      </c>
      <c r="F24" s="93" t="n"/>
      <c r="G24" s="124" t="n"/>
      <c r="H24" s="124" t="n"/>
      <c r="I24" s="121" t="n"/>
      <c r="J24" s="124">
        <f>G24*H24</f>
        <v/>
      </c>
      <c r="K24" s="93" t="n"/>
      <c r="L24" s="124" t="n"/>
      <c r="M24" s="124" t="n"/>
      <c r="N24" s="121" t="n"/>
      <c r="O24" s="124">
        <f>L24*M24</f>
        <v/>
      </c>
      <c r="P24" s="93" t="n"/>
      <c r="Q24" s="124" t="n"/>
      <c r="R24" s="124" t="n"/>
      <c r="S24" s="121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n"/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n"/>
      <c r="B26" s="124" t="n"/>
      <c r="C26" s="124" t="n"/>
      <c r="D26" s="121" t="n"/>
      <c r="E26" s="124">
        <f>B26*C26</f>
        <v/>
      </c>
      <c r="F26" s="93" t="n"/>
      <c r="G26" s="124" t="n"/>
      <c r="H26" s="124" t="n"/>
      <c r="I26" s="121" t="n"/>
      <c r="J26" s="124">
        <f>G26*H26</f>
        <v/>
      </c>
      <c r="K26" s="93" t="n"/>
      <c r="L26" s="124" t="n"/>
      <c r="M26" s="124" t="n"/>
      <c r="N26" s="121" t="n"/>
      <c r="O26" s="124">
        <f>L26*M26</f>
        <v/>
      </c>
      <c r="P26" s="93" t="n"/>
      <c r="Q26" s="124" t="n"/>
      <c r="R26" s="124" t="n"/>
      <c r="S26" s="121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n"/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130" t="n"/>
      <c r="AH27" s="130" t="n"/>
      <c r="AI27" s="130" t="n"/>
      <c r="AJ27" s="130" t="n"/>
      <c r="AK27" s="130" t="n"/>
      <c r="AL27" s="130" t="n"/>
      <c r="AM27" s="97" t="n"/>
      <c r="AN27" s="97" t="n"/>
      <c r="AO27" s="97" t="n"/>
      <c r="AP27" s="97" t="n"/>
      <c r="AQ27" s="97" t="n"/>
    </row>
    <row r="28" ht="21" customHeight="1" s="85">
      <c r="A28" s="124" t="n"/>
      <c r="B28" s="124" t="n"/>
      <c r="C28" s="124" t="n"/>
      <c r="D28" s="121" t="n"/>
      <c r="E28" s="124">
        <f>B28*C28</f>
        <v/>
      </c>
      <c r="F28" s="93" t="n"/>
      <c r="G28" s="124" t="n"/>
      <c r="H28" s="124" t="n"/>
      <c r="I28" s="121" t="n"/>
      <c r="J28" s="124">
        <f>G28*H28</f>
        <v/>
      </c>
      <c r="K28" s="93" t="n"/>
      <c r="L28" s="124" t="n"/>
      <c r="M28" s="124" t="n"/>
      <c r="N28" s="121" t="n"/>
      <c r="O28" s="124">
        <f>L28*M28</f>
        <v/>
      </c>
      <c r="P28" s="93" t="n"/>
      <c r="Q28" s="124" t="n"/>
      <c r="R28" s="124" t="n"/>
      <c r="S28" s="121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130" t="n"/>
      <c r="AH28" s="130" t="n"/>
      <c r="AI28" s="130" t="n"/>
      <c r="AJ28" s="130" t="n"/>
      <c r="AK28" s="130" t="n"/>
      <c r="AL28" s="130" t="n"/>
      <c r="AM28" s="97" t="n"/>
      <c r="AN28" s="97" t="n"/>
      <c r="AO28" s="97" t="n"/>
      <c r="AP28" s="97" t="n"/>
      <c r="AQ28" s="97" t="n"/>
    </row>
    <row r="29" ht="21" customHeight="1" s="85">
      <c r="A29" s="121" t="n"/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n"/>
      <c r="B30" s="124" t="n"/>
      <c r="C30" s="124" t="n"/>
      <c r="D30" s="121" t="n"/>
      <c r="E30" s="124">
        <f>B30*C30</f>
        <v/>
      </c>
      <c r="F30" s="93" t="n"/>
      <c r="G30" s="124" t="n"/>
      <c r="H30" s="124" t="n"/>
      <c r="I30" s="121" t="n"/>
      <c r="J30" s="124">
        <f>G30*H30</f>
        <v/>
      </c>
      <c r="K30" s="93" t="n"/>
      <c r="L30" s="124" t="n"/>
      <c r="M30" s="124" t="n"/>
      <c r="N30" s="121" t="n"/>
      <c r="O30" s="124">
        <f>L30*M30</f>
        <v/>
      </c>
      <c r="P30" s="93" t="n"/>
      <c r="Q30" s="124" t="n"/>
      <c r="R30" s="124" t="n"/>
      <c r="S30" s="121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131" t="n"/>
      <c r="AH30" s="131" t="n"/>
      <c r="AI30" s="131" t="n"/>
      <c r="AJ30" s="131" t="n"/>
      <c r="AK30" s="131" t="n"/>
      <c r="AL30" s="131" t="n"/>
      <c r="AM30" s="97" t="n"/>
      <c r="AN30" s="97" t="n"/>
      <c r="AO30" s="97" t="n"/>
      <c r="AP30" s="97" t="n"/>
      <c r="AQ30" s="97" t="n"/>
    </row>
    <row r="31" ht="21" customHeight="1" s="85">
      <c r="A31" s="121" t="n"/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132" t="n"/>
      <c r="AH31" s="132" t="n"/>
      <c r="AI31" s="132" t="n"/>
      <c r="AJ31" s="132" t="n"/>
      <c r="AK31" s="132" t="n"/>
      <c r="AL31" s="132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33" t="n"/>
      <c r="AH32" s="133" t="n"/>
      <c r="AI32" s="133" t="n"/>
      <c r="AJ32" s="133" t="n"/>
      <c r="AK32" s="133" t="n"/>
      <c r="AL32" s="133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5" t="n"/>
      <c r="AI33" s="135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130" t="n"/>
      <c r="AI34" s="130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3" t="n"/>
      <c r="Y38" s="9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inlineStr">
        <is>
          <t>Mobilide</t>
        </is>
      </c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n"/>
      <c r="B42" s="124" t="n"/>
      <c r="C42" s="124" t="n"/>
      <c r="D42" s="121" t="n"/>
      <c r="E42" s="124">
        <f>B42*C42</f>
        <v/>
      </c>
      <c r="F42" s="93" t="n"/>
      <c r="G42" s="124" t="n"/>
      <c r="H42" s="124" t="n"/>
      <c r="I42" s="121" t="n"/>
      <c r="J42" s="124">
        <f>G42*H42</f>
        <v/>
      </c>
      <c r="K42" s="93" t="n"/>
      <c r="L42" s="124" t="n"/>
      <c r="M42" s="124" t="n"/>
      <c r="N42" s="121" t="n"/>
      <c r="O42" s="124">
        <f>L42*M42</f>
        <v/>
      </c>
      <c r="P42" s="93" t="n"/>
      <c r="Q42" s="124" t="n"/>
      <c r="R42" s="124" t="n"/>
      <c r="S42" s="121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n"/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n"/>
      <c r="B44" s="124" t="n"/>
      <c r="C44" s="124" t="n"/>
      <c r="D44" s="121" t="n"/>
      <c r="E44" s="124">
        <f>B44*C44</f>
        <v/>
      </c>
      <c r="F44" s="93" t="n"/>
      <c r="G44" s="124" t="n"/>
      <c r="H44" s="124" t="n"/>
      <c r="I44" s="121" t="n"/>
      <c r="J44" s="124">
        <f>G44*H44</f>
        <v/>
      </c>
      <c r="K44" s="93" t="n"/>
      <c r="L44" s="124" t="n"/>
      <c r="M44" s="124" t="n"/>
      <c r="N44" s="121" t="n"/>
      <c r="O44" s="124">
        <f>L44*M44</f>
        <v/>
      </c>
      <c r="P44" s="93" t="n"/>
      <c r="Q44" s="124" t="n"/>
      <c r="R44" s="124" t="n"/>
      <c r="S44" s="121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n"/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130" t="n"/>
      <c r="AH45" s="130" t="n"/>
      <c r="AI45" s="130" t="n"/>
      <c r="AJ45" s="130" t="n"/>
      <c r="AK45" s="130" t="n"/>
      <c r="AL45" s="130" t="n"/>
      <c r="AM45" s="97" t="n"/>
      <c r="AN45" s="97" t="n"/>
      <c r="AO45" s="97" t="n"/>
      <c r="AP45" s="97" t="n"/>
      <c r="AQ45" s="97" t="n"/>
    </row>
    <row r="46" ht="21" customHeight="1" s="85">
      <c r="A46" s="124" t="n"/>
      <c r="B46" s="124" t="n"/>
      <c r="C46" s="124" t="n"/>
      <c r="D46" s="121" t="n"/>
      <c r="E46" s="124">
        <f>B46*C46</f>
        <v/>
      </c>
      <c r="F46" s="93" t="n"/>
      <c r="G46" s="124" t="n"/>
      <c r="H46" s="124" t="n"/>
      <c r="I46" s="121" t="n"/>
      <c r="J46" s="124">
        <f>G46*H46</f>
        <v/>
      </c>
      <c r="K46" s="93" t="n"/>
      <c r="L46" s="124" t="n"/>
      <c r="M46" s="124" t="n"/>
      <c r="N46" s="121" t="n"/>
      <c r="O46" s="124">
        <f>L46*M46</f>
        <v/>
      </c>
      <c r="P46" s="93" t="n"/>
      <c r="Q46" s="124" t="n"/>
      <c r="R46" s="124" t="n"/>
      <c r="S46" s="121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130" t="n"/>
      <c r="AH46" s="130" t="n"/>
      <c r="AI46" s="130" t="n"/>
      <c r="AJ46" s="130" t="n"/>
      <c r="AK46" s="130" t="n"/>
      <c r="AL46" s="130" t="n"/>
      <c r="AM46" s="97" t="n"/>
      <c r="AN46" s="97" t="n"/>
      <c r="AO46" s="97" t="n"/>
      <c r="AP46" s="97" t="n"/>
      <c r="AQ46" s="97" t="n"/>
    </row>
    <row r="47" ht="21" customHeight="1" s="85">
      <c r="A47" s="121" t="n"/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n"/>
      <c r="B48" s="124" t="n"/>
      <c r="C48" s="124" t="n"/>
      <c r="D48" s="121" t="n"/>
      <c r="E48" s="124">
        <f>B48*C48</f>
        <v/>
      </c>
      <c r="F48" s="93" t="n"/>
      <c r="G48" s="124" t="n"/>
      <c r="H48" s="124" t="n"/>
      <c r="I48" s="121" t="n"/>
      <c r="J48" s="124">
        <f>G48*H48</f>
        <v/>
      </c>
      <c r="K48" s="93" t="n"/>
      <c r="L48" s="124" t="n"/>
      <c r="M48" s="124" t="n"/>
      <c r="N48" s="121" t="n"/>
      <c r="O48" s="124">
        <f>L48*M48</f>
        <v/>
      </c>
      <c r="P48" s="93" t="n"/>
      <c r="Q48" s="124" t="n"/>
      <c r="R48" s="124" t="n"/>
      <c r="S48" s="121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131" t="n"/>
      <c r="AH48" s="131" t="n"/>
      <c r="AI48" s="131" t="n"/>
      <c r="AJ48" s="131" t="n"/>
      <c r="AK48" s="131" t="n"/>
      <c r="AL48" s="131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132" t="n"/>
      <c r="AH49" s="132" t="n"/>
      <c r="AI49" s="132" t="n"/>
      <c r="AJ49" s="132" t="n"/>
      <c r="AK49" s="132" t="n"/>
      <c r="AL49" s="132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33" t="n"/>
      <c r="AH50" s="133" t="n"/>
      <c r="AI50" s="133" t="n"/>
      <c r="AJ50" s="133" t="n"/>
      <c r="AK50" s="133" t="n"/>
      <c r="AL50" s="133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5" t="n"/>
      <c r="AI51" s="135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130" t="n"/>
      <c r="AI52" s="130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inlineStr">
        <is>
          <t>Mobilidade</t>
        </is>
      </c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n"/>
      <c r="B60" s="124" t="n"/>
      <c r="C60" s="124" t="n"/>
      <c r="D60" s="121" t="n"/>
      <c r="E60" s="124">
        <f>B60*C60</f>
        <v/>
      </c>
      <c r="F60" s="93" t="n"/>
      <c r="G60" s="124" t="n"/>
      <c r="H60" s="124" t="n"/>
      <c r="I60" s="121" t="n"/>
      <c r="J60" s="124">
        <f>G60*H60</f>
        <v/>
      </c>
      <c r="K60" s="93" t="n"/>
      <c r="L60" s="124" t="n"/>
      <c r="M60" s="124" t="n"/>
      <c r="N60" s="121" t="n"/>
      <c r="O60" s="124">
        <f>L60*M60</f>
        <v/>
      </c>
      <c r="P60" s="93" t="n"/>
      <c r="Q60" s="124" t="n"/>
      <c r="R60" s="124" t="n"/>
      <c r="S60" s="121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n"/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n"/>
      <c r="B62" s="124" t="n"/>
      <c r="C62" s="124" t="n"/>
      <c r="D62" s="121" t="n"/>
      <c r="E62" s="124">
        <f>B62*C62</f>
        <v/>
      </c>
      <c r="F62" s="93" t="n"/>
      <c r="G62" s="124" t="n"/>
      <c r="H62" s="124" t="n"/>
      <c r="I62" s="121" t="n"/>
      <c r="J62" s="124">
        <f>G62*H62</f>
        <v/>
      </c>
      <c r="K62" s="93" t="n"/>
      <c r="L62" s="124" t="n"/>
      <c r="M62" s="124" t="n"/>
      <c r="N62" s="121" t="n"/>
      <c r="O62" s="124">
        <f>L62*M62</f>
        <v/>
      </c>
      <c r="P62" s="93" t="n"/>
      <c r="Q62" s="124" t="n"/>
      <c r="R62" s="124" t="n"/>
      <c r="S62" s="121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n"/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130" t="n"/>
      <c r="AH63" s="130" t="n"/>
      <c r="AI63" s="130" t="n"/>
      <c r="AJ63" s="130" t="n"/>
      <c r="AK63" s="130" t="n"/>
      <c r="AL63" s="130" t="n"/>
      <c r="AM63" s="97" t="n"/>
      <c r="AN63" s="97" t="n"/>
      <c r="AO63" s="97" t="n"/>
      <c r="AP63" s="97" t="n"/>
      <c r="AQ63" s="97" t="n"/>
    </row>
    <row r="64" ht="21" customHeight="1" s="85">
      <c r="A64" s="124" t="n"/>
      <c r="B64" s="124" t="n"/>
      <c r="C64" s="124" t="n"/>
      <c r="D64" s="121" t="n"/>
      <c r="E64" s="124">
        <f>B64*C64</f>
        <v/>
      </c>
      <c r="F64" s="93" t="n"/>
      <c r="G64" s="124" t="n"/>
      <c r="H64" s="124" t="n"/>
      <c r="I64" s="121" t="n"/>
      <c r="J64" s="124">
        <f>G64*H64</f>
        <v/>
      </c>
      <c r="K64" s="93" t="n"/>
      <c r="L64" s="124" t="n"/>
      <c r="M64" s="124" t="n"/>
      <c r="N64" s="121" t="n"/>
      <c r="O64" s="124">
        <f>L64*M64</f>
        <v/>
      </c>
      <c r="P64" s="93" t="n"/>
      <c r="Q64" s="124" t="n"/>
      <c r="R64" s="124" t="n"/>
      <c r="S64" s="121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130" t="n"/>
      <c r="AH64" s="130" t="n"/>
      <c r="AI64" s="130" t="n"/>
      <c r="AJ64" s="130" t="n"/>
      <c r="AK64" s="130" t="n"/>
      <c r="AL64" s="130" t="n"/>
      <c r="AM64" s="97" t="n"/>
      <c r="AN64" s="97" t="n"/>
      <c r="AO64" s="97" t="n"/>
      <c r="AP64" s="97" t="n"/>
      <c r="AQ64" s="97" t="n"/>
    </row>
    <row r="65" ht="21" customHeight="1" s="85">
      <c r="A65" s="121" t="n"/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130" t="n"/>
      <c r="AH65" s="130" t="n"/>
      <c r="AI65" s="130" t="n"/>
      <c r="AJ65" s="130" t="n"/>
      <c r="AK65" s="130" t="n"/>
      <c r="AL65" s="130" t="n"/>
      <c r="AM65" s="97" t="n"/>
      <c r="AN65" s="97" t="n"/>
      <c r="AO65" s="97" t="n"/>
      <c r="AP65" s="97" t="n"/>
      <c r="AQ65" s="97" t="n"/>
    </row>
    <row r="66" ht="21" customHeight="1" s="85">
      <c r="A66" s="124" t="n"/>
      <c r="B66" s="124" t="n"/>
      <c r="C66" s="124" t="n"/>
      <c r="D66" s="121" t="n"/>
      <c r="E66" s="124">
        <f>B66*C66</f>
        <v/>
      </c>
      <c r="F66" s="93" t="n"/>
      <c r="G66" s="124" t="n"/>
      <c r="H66" s="124" t="n"/>
      <c r="I66" s="121" t="n"/>
      <c r="J66" s="124">
        <f>G66*H66</f>
        <v/>
      </c>
      <c r="K66" s="93" t="n"/>
      <c r="L66" s="124" t="n"/>
      <c r="M66" s="124" t="n"/>
      <c r="N66" s="121" t="n"/>
      <c r="O66" s="124">
        <f>L66*M66</f>
        <v/>
      </c>
      <c r="P66" s="93" t="n"/>
      <c r="Q66" s="124" t="n"/>
      <c r="R66" s="124" t="n"/>
      <c r="S66" s="121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130" t="n"/>
      <c r="AH66" s="130" t="n"/>
      <c r="AI66" s="130" t="n"/>
      <c r="AJ66" s="130" t="n"/>
      <c r="AK66" s="130" t="n"/>
      <c r="AL66" s="130" t="n"/>
      <c r="AM66" s="97" t="n"/>
      <c r="AN66" s="97" t="n"/>
      <c r="AO66" s="97" t="n"/>
      <c r="AP66" s="97" t="n"/>
      <c r="AQ66" s="97" t="n"/>
    </row>
    <row r="67" ht="21" customHeight="1" s="85">
      <c r="A67" s="121" t="n"/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130" t="n"/>
      <c r="AH67" s="130" t="n"/>
      <c r="AI67" s="130" t="n"/>
      <c r="AJ67" s="130" t="n"/>
      <c r="AK67" s="130" t="n"/>
      <c r="AL67" s="130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30" t="n"/>
      <c r="AH68" s="130" t="n"/>
      <c r="AI68" s="130" t="n"/>
      <c r="AJ68" s="130" t="n"/>
      <c r="AK68" s="130" t="n"/>
      <c r="AL68" s="130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0" t="n"/>
      <c r="AH69" s="130" t="n"/>
      <c r="AI69" s="130" t="n"/>
      <c r="AJ69" s="130" t="n"/>
      <c r="AK69" s="130" t="n"/>
      <c r="AL69" s="130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130" t="n"/>
      <c r="AH70" s="130" t="n"/>
      <c r="AI70" s="130" t="n"/>
      <c r="AJ70" s="130" t="n"/>
      <c r="AK70" s="130" t="n"/>
      <c r="AL70" s="130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130" t="n"/>
      <c r="AH71" s="130" t="n"/>
      <c r="AI71" s="130" t="n"/>
      <c r="AJ71" s="130" t="n"/>
      <c r="AK71" s="130" t="n"/>
      <c r="AL71" s="130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inlineStr">
        <is>
          <t>Mobilidade</t>
        </is>
      </c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n"/>
      <c r="B78" s="124" t="n"/>
      <c r="C78" s="124" t="n"/>
      <c r="D78" s="121" t="n"/>
      <c r="E78" s="124">
        <f>B78*C78</f>
        <v/>
      </c>
      <c r="F78" s="93" t="n"/>
      <c r="G78" s="124" t="n"/>
      <c r="H78" s="124" t="n"/>
      <c r="I78" s="121" t="n"/>
      <c r="J78" s="124">
        <f>G78*H78</f>
        <v/>
      </c>
      <c r="K78" s="93" t="n"/>
      <c r="L78" s="124" t="n"/>
      <c r="M78" s="124" t="n"/>
      <c r="N78" s="121" t="n"/>
      <c r="O78" s="124">
        <f>L78*M78</f>
        <v/>
      </c>
      <c r="P78" s="93" t="n"/>
      <c r="Q78" s="124" t="n"/>
      <c r="R78" s="124" t="n"/>
      <c r="S78" s="121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n"/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n"/>
      <c r="B80" s="124" t="n"/>
      <c r="C80" s="124" t="n"/>
      <c r="D80" s="121" t="n"/>
      <c r="E80" s="124">
        <f>B80*C80</f>
        <v/>
      </c>
      <c r="F80" s="93" t="n"/>
      <c r="G80" s="124" t="n"/>
      <c r="H80" s="124" t="n"/>
      <c r="I80" s="121" t="n"/>
      <c r="J80" s="124">
        <f>G80*H80</f>
        <v/>
      </c>
      <c r="K80" s="93" t="n"/>
      <c r="L80" s="124" t="n"/>
      <c r="M80" s="124" t="n"/>
      <c r="N80" s="121" t="n"/>
      <c r="O80" s="124">
        <f>L80*M80</f>
        <v/>
      </c>
      <c r="P80" s="93" t="n"/>
      <c r="Q80" s="124" t="n"/>
      <c r="R80" s="124" t="n"/>
      <c r="S80" s="121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n"/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130" t="n"/>
      <c r="AH81" s="130" t="n"/>
      <c r="AI81" s="130" t="n"/>
      <c r="AJ81" s="130" t="n"/>
      <c r="AK81" s="130" t="n"/>
      <c r="AL81" s="130" t="n"/>
      <c r="AM81" s="97" t="n"/>
      <c r="AN81" s="97" t="n"/>
      <c r="AO81" s="97" t="n"/>
      <c r="AP81" s="97" t="n"/>
      <c r="AQ81" s="97" t="n"/>
    </row>
    <row r="82" ht="21" customHeight="1" s="85">
      <c r="A82" s="124" t="n"/>
      <c r="B82" s="124" t="n"/>
      <c r="C82" s="124" t="n"/>
      <c r="D82" s="121" t="n"/>
      <c r="E82" s="124">
        <f>B82*C82</f>
        <v/>
      </c>
      <c r="F82" s="93" t="n"/>
      <c r="G82" s="124" t="n"/>
      <c r="H82" s="124" t="n"/>
      <c r="I82" s="121" t="n"/>
      <c r="J82" s="124">
        <f>G82*H82</f>
        <v/>
      </c>
      <c r="K82" s="93" t="n"/>
      <c r="L82" s="124" t="n"/>
      <c r="M82" s="124" t="n"/>
      <c r="N82" s="121" t="n"/>
      <c r="O82" s="124">
        <f>L82*M82</f>
        <v/>
      </c>
      <c r="P82" s="93" t="n"/>
      <c r="Q82" s="124" t="n"/>
      <c r="R82" s="124" t="n"/>
      <c r="S82" s="121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130" t="n"/>
      <c r="AH82" s="130" t="n"/>
      <c r="AI82" s="130" t="n"/>
      <c r="AJ82" s="130" t="n"/>
      <c r="AK82" s="130" t="n"/>
      <c r="AL82" s="130" t="n"/>
      <c r="AM82" s="97" t="n"/>
      <c r="AN82" s="97" t="n"/>
      <c r="AO82" s="97" t="n"/>
      <c r="AP82" s="97" t="n"/>
      <c r="AQ82" s="97" t="n"/>
    </row>
    <row r="83" ht="21" customHeight="1" s="85">
      <c r="A83" s="121" t="n"/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n"/>
      <c r="B84" s="124" t="n"/>
      <c r="C84" s="124" t="n"/>
      <c r="D84" s="121" t="n"/>
      <c r="E84" s="124">
        <f>B84*C84</f>
        <v/>
      </c>
      <c r="F84" s="93" t="n"/>
      <c r="G84" s="124" t="n"/>
      <c r="H84" s="124" t="n"/>
      <c r="I84" s="121" t="n"/>
      <c r="J84" s="124">
        <f>G84*H84</f>
        <v/>
      </c>
      <c r="K84" s="93" t="n"/>
      <c r="L84" s="124" t="n"/>
      <c r="M84" s="124" t="n"/>
      <c r="N84" s="121" t="n"/>
      <c r="O84" s="124">
        <f>L84*M84</f>
        <v/>
      </c>
      <c r="P84" s="93" t="n"/>
      <c r="Q84" s="124" t="n"/>
      <c r="R84" s="124" t="n"/>
      <c r="S84" s="121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131" t="n"/>
      <c r="AH84" s="131" t="n"/>
      <c r="AI84" s="131" t="n"/>
      <c r="AJ84" s="131" t="n"/>
      <c r="AK84" s="131" t="n"/>
      <c r="AL84" s="131" t="n"/>
      <c r="AM84" s="97" t="n"/>
      <c r="AN84" s="97" t="n"/>
      <c r="AO84" s="97" t="n"/>
      <c r="AP84" s="97" t="n"/>
      <c r="AQ84" s="97" t="n"/>
    </row>
    <row r="85" ht="21" customHeight="1" s="85">
      <c r="A85" s="121" t="n"/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132" t="n"/>
      <c r="AH85" s="132" t="n"/>
      <c r="AI85" s="132" t="n"/>
      <c r="AJ85" s="132" t="n"/>
      <c r="AK85" s="132" t="n"/>
      <c r="AL85" s="132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33" t="n"/>
      <c r="AH86" s="133" t="n"/>
      <c r="AI86" s="133" t="n"/>
      <c r="AJ86" s="133" t="n"/>
      <c r="AK86" s="133" t="n"/>
      <c r="AL86" s="133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5" t="n"/>
      <c r="AI87" s="135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130" t="n"/>
      <c r="AI88" s="130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>
        <v>45605</v>
      </c>
      <c r="F92" s="102" t="n"/>
      <c r="G92" s="102" t="n"/>
      <c r="H92" s="103" t="n"/>
      <c r="I92" s="93" t="n"/>
      <c r="J92" s="93" t="n"/>
      <c r="K92" s="93" t="n"/>
      <c r="L92" s="94" t="n">
        <v>4</v>
      </c>
      <c r="M92" s="94" t="n">
        <v>5</v>
      </c>
      <c r="N92" s="94" t="n">
        <v>4</v>
      </c>
      <c r="O92" s="94" t="n">
        <v>3</v>
      </c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inlineStr">
        <is>
          <t>Agachamento Livre</t>
        </is>
      </c>
      <c r="B95" s="121" t="n">
        <v>10</v>
      </c>
      <c r="C95" s="121" t="n">
        <v>80</v>
      </c>
      <c r="D95" s="121" t="n">
        <v>2</v>
      </c>
      <c r="E95" s="121">
        <f>B95*C95</f>
        <v/>
      </c>
      <c r="F95" s="93" t="n"/>
      <c r="G95" s="121" t="n">
        <v>10</v>
      </c>
      <c r="H95" s="121" t="n">
        <v>80</v>
      </c>
      <c r="I95" s="121" t="n">
        <v>2</v>
      </c>
      <c r="J95" s="121">
        <f>G95*H95</f>
        <v/>
      </c>
      <c r="K95" s="93" t="n"/>
      <c r="L95" s="121" t="n">
        <v>10</v>
      </c>
      <c r="M95" s="121" t="n">
        <v>80</v>
      </c>
      <c r="N95" s="121" t="n">
        <v>2</v>
      </c>
      <c r="O95" s="121">
        <f>L95*M95</f>
        <v/>
      </c>
      <c r="P95" s="93" t="n"/>
      <c r="Q95" s="121" t="n">
        <v>10</v>
      </c>
      <c r="R95" s="121" t="n">
        <v>80</v>
      </c>
      <c r="S95" s="121" t="n">
        <v>2</v>
      </c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>
        <v>8</v>
      </c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Supino Reto</t>
        </is>
      </c>
      <c r="B96" s="124" t="n">
        <v>10</v>
      </c>
      <c r="C96" s="124" t="n">
        <v>60</v>
      </c>
      <c r="D96" s="121" t="n">
        <v>2</v>
      </c>
      <c r="E96" s="124">
        <f>B96*C96</f>
        <v/>
      </c>
      <c r="F96" s="93" t="n"/>
      <c r="G96" s="124" t="n">
        <v>10</v>
      </c>
      <c r="H96" s="124" t="n">
        <v>60</v>
      </c>
      <c r="I96" s="121" t="n">
        <v>2</v>
      </c>
      <c r="J96" s="124">
        <f>G96*H96</f>
        <v/>
      </c>
      <c r="K96" s="93" t="n"/>
      <c r="L96" s="124" t="n">
        <v>10</v>
      </c>
      <c r="M96" s="124" t="n">
        <v>60</v>
      </c>
      <c r="N96" s="121" t="n">
        <v>2</v>
      </c>
      <c r="O96" s="124">
        <f>L96*M96</f>
        <v/>
      </c>
      <c r="P96" s="93" t="n"/>
      <c r="Q96" s="124" t="n"/>
      <c r="R96" s="124" t="n"/>
      <c r="S96" s="121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Agachamento Hack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>
        <v>60</v>
      </c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Leg Press</t>
        </is>
      </c>
      <c r="B98" s="124" t="n"/>
      <c r="C98" s="124" t="n"/>
      <c r="D98" s="121" t="n"/>
      <c r="E98" s="124">
        <f>B98*C98</f>
        <v/>
      </c>
      <c r="F98" s="93" t="n"/>
      <c r="G98" s="124" t="n"/>
      <c r="H98" s="124" t="n"/>
      <c r="I98" s="121" t="n"/>
      <c r="J98" s="124">
        <f>G98*H98</f>
        <v/>
      </c>
      <c r="K98" s="93" t="n"/>
      <c r="L98" s="124" t="n"/>
      <c r="M98" s="124" t="n"/>
      <c r="N98" s="121" t="n"/>
      <c r="O98" s="124">
        <f>L98*M98</f>
        <v/>
      </c>
      <c r="P98" s="93" t="n"/>
      <c r="Q98" s="124" t="n"/>
      <c r="R98" s="124" t="n"/>
      <c r="S98" s="121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Panturrilha em Pé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130" t="n"/>
      <c r="AH99" s="130" t="n"/>
      <c r="AI99" s="130" t="n"/>
      <c r="AJ99" s="130" t="n"/>
      <c r="AK99" s="130" t="n"/>
      <c r="AL99" s="130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Cadeira Extensora</t>
        </is>
      </c>
      <c r="B100" s="124" t="n"/>
      <c r="C100" s="124" t="n"/>
      <c r="D100" s="121" t="n"/>
      <c r="E100" s="124">
        <f>B100*C100</f>
        <v/>
      </c>
      <c r="F100" s="93" t="n"/>
      <c r="G100" s="124" t="n"/>
      <c r="H100" s="124" t="n"/>
      <c r="I100" s="121" t="n"/>
      <c r="J100" s="124">
        <f>G100*H100</f>
        <v/>
      </c>
      <c r="K100" s="93" t="n"/>
      <c r="L100" s="124" t="n"/>
      <c r="M100" s="124" t="n"/>
      <c r="N100" s="121" t="n"/>
      <c r="O100" s="124">
        <f>L100*M100</f>
        <v/>
      </c>
      <c r="P100" s="93" t="n"/>
      <c r="Q100" s="124" t="n"/>
      <c r="R100" s="124" t="n"/>
      <c r="S100" s="121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130" t="n"/>
      <c r="AH100" s="130" t="n"/>
      <c r="AI100" s="130" t="n"/>
      <c r="AJ100" s="130" t="n"/>
      <c r="AK100" s="130" t="n"/>
      <c r="AL100" s="130" t="n"/>
      <c r="AM100" s="97" t="n"/>
      <c r="AN100" s="97" t="n"/>
      <c r="AO100" s="97" t="n"/>
      <c r="AP100" s="97" t="n"/>
      <c r="AQ100" s="97" t="n"/>
    </row>
    <row r="101" ht="21" customHeight="1" s="85">
      <c r="A101" s="121" t="n"/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n"/>
      <c r="B102" s="124" t="n"/>
      <c r="C102" s="124" t="n"/>
      <c r="D102" s="121" t="n"/>
      <c r="E102" s="124">
        <f>B102*C102</f>
        <v/>
      </c>
      <c r="F102" s="93" t="n"/>
      <c r="G102" s="124" t="n"/>
      <c r="H102" s="124" t="n"/>
      <c r="I102" s="121" t="n"/>
      <c r="J102" s="124">
        <f>G102*H102</f>
        <v/>
      </c>
      <c r="K102" s="93" t="n"/>
      <c r="L102" s="124" t="n"/>
      <c r="M102" s="124" t="n"/>
      <c r="N102" s="121" t="n"/>
      <c r="O102" s="124">
        <f>L102*M102</f>
        <v/>
      </c>
      <c r="P102" s="93" t="n"/>
      <c r="Q102" s="124" t="n"/>
      <c r="R102" s="124" t="n"/>
      <c r="S102" s="121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131" t="n"/>
      <c r="AH102" s="131" t="n"/>
      <c r="AI102" s="131" t="n"/>
      <c r="AJ102" s="131" t="n"/>
      <c r="AK102" s="131" t="n"/>
      <c r="AL102" s="131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132" t="n"/>
      <c r="AH103" s="132" t="n"/>
      <c r="AI103" s="132" t="n"/>
      <c r="AJ103" s="132" t="n"/>
      <c r="AK103" s="132" t="n"/>
      <c r="AL103" s="132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33" t="n"/>
      <c r="AH104" s="133" t="n"/>
      <c r="AI104" s="133" t="n"/>
      <c r="AJ104" s="133" t="n"/>
      <c r="AK104" s="133" t="n"/>
      <c r="AL104" s="133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5" t="n"/>
      <c r="AI105" s="135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130" t="n"/>
      <c r="AI106" s="130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>
        <f>AVERAGE(E113:E124,J113:J124,O113:O124,T113:T124,Y113:Y124)</f>
        <v/>
      </c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130" t="n"/>
      <c r="AH117" s="130" t="n"/>
      <c r="AI117" s="130" t="n"/>
      <c r="AJ117" s="130" t="n"/>
      <c r="AK117" s="130" t="n"/>
      <c r="AL117" s="130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130" t="n"/>
      <c r="AH118" s="130" t="n"/>
      <c r="AI118" s="130" t="n"/>
      <c r="AJ118" s="130" t="n"/>
      <c r="AK118" s="130" t="n"/>
      <c r="AL118" s="130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131" t="n"/>
      <c r="AH120" s="131" t="n"/>
      <c r="AI120" s="131" t="n"/>
      <c r="AJ120" s="131" t="n"/>
      <c r="AK120" s="131" t="n"/>
      <c r="AL120" s="131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132" t="n"/>
      <c r="AH121" s="132" t="n"/>
      <c r="AI121" s="132" t="n"/>
      <c r="AJ121" s="132" t="n"/>
      <c r="AK121" s="132" t="n"/>
      <c r="AL121" s="132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33" t="n"/>
      <c r="AH122" s="133" t="n"/>
      <c r="AI122" s="133" t="n"/>
      <c r="AJ122" s="133" t="n"/>
      <c r="AK122" s="133" t="n"/>
      <c r="AL122" s="133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5" t="n"/>
      <c r="AI123" s="135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130" t="n"/>
      <c r="AI124" s="130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96">
    <mergeCell ref="AG4:AH4"/>
    <mergeCell ref="AA111:AA112"/>
    <mergeCell ref="AG115:AL115"/>
    <mergeCell ref="AJ57:AL57"/>
    <mergeCell ref="O53:P53"/>
    <mergeCell ref="E71:F71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T55:X55"/>
    <mergeCell ref="AG78:AL78"/>
    <mergeCell ref="O35:P35"/>
    <mergeCell ref="C56:D56"/>
    <mergeCell ref="AE59:AE70"/>
    <mergeCell ref="T92:X92"/>
    <mergeCell ref="B93:E93"/>
    <mergeCell ref="AB111:AB112"/>
    <mergeCell ref="L75:O75"/>
    <mergeCell ref="T110:X110"/>
    <mergeCell ref="AJ112:AL11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79:AL79"/>
    <mergeCell ref="G57:J57"/>
    <mergeCell ref="AG93:AH93"/>
    <mergeCell ref="Q110:R110"/>
    <mergeCell ref="AG3:AH3"/>
    <mergeCell ref="O17:P17"/>
    <mergeCell ref="Q2:R2"/>
    <mergeCell ref="AJ21:AL21"/>
    <mergeCell ref="Q93:T93"/>
    <mergeCell ref="E74:H74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C92:D92"/>
    <mergeCell ref="T20:X20"/>
    <mergeCell ref="Q37:R37"/>
    <mergeCell ref="AG94:AH94"/>
    <mergeCell ref="AE21:AE22"/>
    <mergeCell ref="L21:O21"/>
    <mergeCell ref="T38:X38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E39:AE40"/>
    <mergeCell ref="Q38:R38"/>
    <mergeCell ref="AE113:AE124"/>
    <mergeCell ref="Q3:T3"/>
    <mergeCell ref="G21:J21"/>
    <mergeCell ref="B3:E3"/>
    <mergeCell ref="AE41:AE52"/>
    <mergeCell ref="T74:X74"/>
    <mergeCell ref="A21:A22"/>
    <mergeCell ref="L57:O57"/>
    <mergeCell ref="A57:A58"/>
    <mergeCell ref="AJ76:AL76"/>
    <mergeCell ref="Q1:R1"/>
    <mergeCell ref="Q39:T39"/>
    <mergeCell ref="E38:H38"/>
    <mergeCell ref="Q111:T111"/>
    <mergeCell ref="AG57:AH57"/>
    <mergeCell ref="O71:P71"/>
    <mergeCell ref="L93:O93"/>
    <mergeCell ref="AD21:AD22"/>
    <mergeCell ref="AG60:AL60"/>
    <mergeCell ref="C110:D110"/>
    <mergeCell ref="J125:K125"/>
    <mergeCell ref="AE77:AE88"/>
    <mergeCell ref="L39:O39"/>
    <mergeCell ref="V39:Y39"/>
    <mergeCell ref="AC57:AC58"/>
    <mergeCell ref="A39:A40"/>
    <mergeCell ref="T19:X19"/>
    <mergeCell ref="AD111:AD112"/>
    <mergeCell ref="AJ39:AL39"/>
    <mergeCell ref="Q91:R91"/>
    <mergeCell ref="E110:H110"/>
    <mergeCell ref="AC3:AC4"/>
    <mergeCell ref="V75:Y75"/>
    <mergeCell ref="AE3:AE4"/>
    <mergeCell ref="AG97:AL97"/>
    <mergeCell ref="AE5:AE16"/>
    <mergeCell ref="AG7:AL7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T71:U71"/>
    <mergeCell ref="AG75:AH75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B57:E57"/>
    <mergeCell ref="E125:F125"/>
    <mergeCell ref="AB93:AB94"/>
    <mergeCell ref="AD93:AD94"/>
    <mergeCell ref="AG6:AL6"/>
    <mergeCell ref="AA93:AA94"/>
    <mergeCell ref="Q56:R56"/>
    <mergeCell ref="T91:X91"/>
    <mergeCell ref="AD39:AD40"/>
    <mergeCell ref="T125:U125"/>
    <mergeCell ref="AG61:AL61"/>
    <mergeCell ref="C74:D74"/>
    <mergeCell ref="AJ3:AL3"/>
    <mergeCell ref="E17:F17"/>
    <mergeCell ref="AB21:AB22"/>
    <mergeCell ref="E35:F35"/>
    <mergeCell ref="A75:A76"/>
    <mergeCell ref="L111:O111"/>
    <mergeCell ref="E56:H56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B57:AB58"/>
    <mergeCell ref="AA3:AA4"/>
    <mergeCell ref="AD57:AD58"/>
    <mergeCell ref="AC21:AC22"/>
    <mergeCell ref="AJ94:AL94"/>
    <mergeCell ref="B111:E111"/>
    <mergeCell ref="G93:J93"/>
    <mergeCell ref="G3:J3"/>
    <mergeCell ref="AG39:AH39"/>
    <mergeCell ref="AG25:AL25"/>
    <mergeCell ref="AJ58:AL58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2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98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98">
        <f>SUM(E18+J18+O18+T18+Y18)</f>
        <v/>
      </c>
      <c r="AH4" s="103" t="n"/>
      <c r="AI4" s="97" t="n"/>
      <c r="AJ4" s="98">
        <f>AE5*AG7</f>
        <v/>
      </c>
      <c r="AK4" s="102" t="n"/>
      <c r="AL4" s="103" t="n"/>
      <c r="AM4" s="97" t="n"/>
      <c r="AN4" s="97" t="n"/>
      <c r="AO4" s="97" t="n"/>
      <c r="AP4" s="97" t="n"/>
      <c r="AQ4" s="97" t="n"/>
    </row>
    <row r="5" ht="21" customHeight="1" s="85">
      <c r="A5" s="121" t="n"/>
      <c r="B5" s="121" t="n"/>
      <c r="C5" s="121" t="n"/>
      <c r="D5" s="121" t="n"/>
      <c r="E5" s="121">
        <f>B5*C5</f>
        <v/>
      </c>
      <c r="F5" s="93" t="n"/>
      <c r="G5" s="121" t="n"/>
      <c r="H5" s="121" t="n"/>
      <c r="I5" s="121" t="n"/>
      <c r="J5" s="121">
        <f>G5*H5</f>
        <v/>
      </c>
      <c r="K5" s="93" t="n"/>
      <c r="L5" s="121" t="n"/>
      <c r="M5" s="121" t="n"/>
      <c r="N5" s="121" t="n"/>
      <c r="O5" s="121">
        <f>L5*M5</f>
        <v/>
      </c>
      <c r="P5" s="93" t="n"/>
      <c r="Q5" s="121" t="n"/>
      <c r="R5" s="121" t="n"/>
      <c r="S5" s="121" t="n"/>
      <c r="T5" s="121">
        <f>Q5*R5</f>
        <v/>
      </c>
      <c r="U5" s="93" t="n"/>
      <c r="V5" s="121" t="n"/>
      <c r="W5" s="121" t="n"/>
      <c r="X5" s="121" t="n"/>
      <c r="Y5" s="121">
        <f>V5*W5</f>
        <v/>
      </c>
      <c r="Z5" s="93" t="n"/>
      <c r="AA5" s="122">
        <f>IFERROR(((I5-D5)/D5)*100,"")</f>
        <v/>
      </c>
      <c r="AB5" s="122">
        <f>IFERROR(((N5-D5)/D5)*100,"")</f>
        <v/>
      </c>
      <c r="AC5" s="122">
        <f>IFERROR(((S5-D5)/D5)*100,"")</f>
        <v/>
      </c>
      <c r="AD5" s="122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130" t="n"/>
      <c r="AH9" s="130" t="n"/>
      <c r="AI9" s="130" t="n"/>
      <c r="AJ9" s="130" t="n"/>
      <c r="AK9" s="130" t="n"/>
      <c r="AL9" s="130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130" t="n"/>
      <c r="AH10" s="130" t="n"/>
      <c r="AI10" s="130" t="n"/>
      <c r="AJ10" s="130" t="n"/>
      <c r="AK10" s="130" t="n"/>
      <c r="AL10" s="130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131" t="n"/>
      <c r="AH12" s="131" t="n"/>
      <c r="AI12" s="131" t="n"/>
      <c r="AJ12" s="131" t="n"/>
      <c r="AK12" s="131" t="n"/>
      <c r="AL12" s="131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132" t="n"/>
      <c r="AH13" s="132" t="n"/>
      <c r="AI13" s="132" t="n"/>
      <c r="AJ13" s="132" t="n"/>
      <c r="AK13" s="132" t="n"/>
      <c r="AL13" s="132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33" t="n"/>
      <c r="AH14" s="133" t="n"/>
      <c r="AI14" s="133" t="n"/>
      <c r="AJ14" s="133" t="n"/>
      <c r="AK14" s="133" t="n"/>
      <c r="AL14" s="133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5" t="n"/>
      <c r="AI15" s="135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130" t="n"/>
      <c r="AI16" s="130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130" t="n"/>
      <c r="AH27" s="130" t="n"/>
      <c r="AI27" s="130" t="n"/>
      <c r="AJ27" s="130" t="n"/>
      <c r="AK27" s="130" t="n"/>
      <c r="AL27" s="130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130" t="n"/>
      <c r="AH28" s="130" t="n"/>
      <c r="AI28" s="130" t="n"/>
      <c r="AJ28" s="130" t="n"/>
      <c r="AK28" s="130" t="n"/>
      <c r="AL28" s="130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131" t="n"/>
      <c r="AH30" s="131" t="n"/>
      <c r="AI30" s="131" t="n"/>
      <c r="AJ30" s="131" t="n"/>
      <c r="AK30" s="131" t="n"/>
      <c r="AL30" s="131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132" t="n"/>
      <c r="AH31" s="132" t="n"/>
      <c r="AI31" s="132" t="n"/>
      <c r="AJ31" s="132" t="n"/>
      <c r="AK31" s="132" t="n"/>
      <c r="AL31" s="132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33" t="n"/>
      <c r="AH32" s="133" t="n"/>
      <c r="AI32" s="133" t="n"/>
      <c r="AJ32" s="133" t="n"/>
      <c r="AK32" s="133" t="n"/>
      <c r="AL32" s="133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5" t="n"/>
      <c r="AI33" s="135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130" t="n"/>
      <c r="AI34" s="130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3" t="n"/>
      <c r="Y38" s="9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130" t="n"/>
      <c r="AH45" s="130" t="n"/>
      <c r="AI45" s="130" t="n"/>
      <c r="AJ45" s="130" t="n"/>
      <c r="AK45" s="130" t="n"/>
      <c r="AL45" s="130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130" t="n"/>
      <c r="AH46" s="130" t="n"/>
      <c r="AI46" s="130" t="n"/>
      <c r="AJ46" s="130" t="n"/>
      <c r="AK46" s="130" t="n"/>
      <c r="AL46" s="130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131" t="n"/>
      <c r="AH48" s="131" t="n"/>
      <c r="AI48" s="131" t="n"/>
      <c r="AJ48" s="131" t="n"/>
      <c r="AK48" s="131" t="n"/>
      <c r="AL48" s="131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132" t="n"/>
      <c r="AH49" s="132" t="n"/>
      <c r="AI49" s="132" t="n"/>
      <c r="AJ49" s="132" t="n"/>
      <c r="AK49" s="132" t="n"/>
      <c r="AL49" s="132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33" t="n"/>
      <c r="AH50" s="133" t="n"/>
      <c r="AI50" s="133" t="n"/>
      <c r="AJ50" s="133" t="n"/>
      <c r="AK50" s="133" t="n"/>
      <c r="AL50" s="133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5" t="n"/>
      <c r="AI51" s="135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130" t="n"/>
      <c r="AI52" s="130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130" t="n"/>
      <c r="AH63" s="130" t="n"/>
      <c r="AI63" s="130" t="n"/>
      <c r="AJ63" s="130" t="n"/>
      <c r="AK63" s="130" t="n"/>
      <c r="AL63" s="130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130" t="n"/>
      <c r="AH64" s="130" t="n"/>
      <c r="AI64" s="130" t="n"/>
      <c r="AJ64" s="130" t="n"/>
      <c r="AK64" s="130" t="n"/>
      <c r="AL64" s="130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131" t="n"/>
      <c r="AH66" s="131" t="n"/>
      <c r="AI66" s="131" t="n"/>
      <c r="AJ66" s="131" t="n"/>
      <c r="AK66" s="131" t="n"/>
      <c r="AL66" s="131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132" t="n"/>
      <c r="AH67" s="132" t="n"/>
      <c r="AI67" s="132" t="n"/>
      <c r="AJ67" s="132" t="n"/>
      <c r="AK67" s="132" t="n"/>
      <c r="AL67" s="132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33" t="n"/>
      <c r="AH68" s="133" t="n"/>
      <c r="AI68" s="133" t="n"/>
      <c r="AJ68" s="133" t="n"/>
      <c r="AK68" s="133" t="n"/>
      <c r="AL68" s="133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5" t="n"/>
      <c r="AI69" s="135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130" t="n"/>
      <c r="AI70" s="130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130" t="n"/>
      <c r="AH81" s="130" t="n"/>
      <c r="AI81" s="130" t="n"/>
      <c r="AJ81" s="130" t="n"/>
      <c r="AK81" s="130" t="n"/>
      <c r="AL81" s="130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130" t="n"/>
      <c r="AH82" s="130" t="n"/>
      <c r="AI82" s="130" t="n"/>
      <c r="AJ82" s="130" t="n"/>
      <c r="AK82" s="130" t="n"/>
      <c r="AL82" s="130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131" t="n"/>
      <c r="AH84" s="131" t="n"/>
      <c r="AI84" s="131" t="n"/>
      <c r="AJ84" s="131" t="n"/>
      <c r="AK84" s="131" t="n"/>
      <c r="AL84" s="131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132" t="n"/>
      <c r="AH85" s="132" t="n"/>
      <c r="AI85" s="132" t="n"/>
      <c r="AJ85" s="132" t="n"/>
      <c r="AK85" s="132" t="n"/>
      <c r="AL85" s="132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33" t="n"/>
      <c r="AH86" s="133" t="n"/>
      <c r="AI86" s="133" t="n"/>
      <c r="AJ86" s="133" t="n"/>
      <c r="AK86" s="133" t="n"/>
      <c r="AL86" s="133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5" t="n"/>
      <c r="AI87" s="135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130" t="n"/>
      <c r="AI88" s="130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>
        <v>45612</v>
      </c>
      <c r="F92" s="102" t="n"/>
      <c r="G92" s="102" t="n"/>
      <c r="H92" s="103" t="n"/>
      <c r="I92" s="93" t="n"/>
      <c r="J92" s="93" t="n"/>
      <c r="K92" s="93" t="n"/>
      <c r="L92" s="94" t="n">
        <v>5</v>
      </c>
      <c r="M92" s="94" t="n">
        <v>4</v>
      </c>
      <c r="N92" s="94" t="n">
        <v>4</v>
      </c>
      <c r="O92" s="94" t="n">
        <v>4</v>
      </c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inlineStr">
        <is>
          <t>Agachamento Livre</t>
        </is>
      </c>
      <c r="B95" s="121" t="n">
        <v>10</v>
      </c>
      <c r="C95" s="121" t="n">
        <v>85</v>
      </c>
      <c r="D95" s="121" t="n">
        <v>2</v>
      </c>
      <c r="E95" s="121">
        <f>B95*C95</f>
        <v/>
      </c>
      <c r="F95" s="93" t="n"/>
      <c r="G95" s="121" t="n">
        <v>10</v>
      </c>
      <c r="H95" s="121" t="n">
        <v>85</v>
      </c>
      <c r="I95" s="121" t="n">
        <v>2</v>
      </c>
      <c r="J95" s="121">
        <f>G95*H95</f>
        <v/>
      </c>
      <c r="K95" s="93" t="n"/>
      <c r="L95" s="121" t="n">
        <v>10</v>
      </c>
      <c r="M95" s="121" t="n">
        <v>85</v>
      </c>
      <c r="N95" s="121" t="n">
        <v>2</v>
      </c>
      <c r="O95" s="121">
        <f>L95*M95</f>
        <v/>
      </c>
      <c r="P95" s="93" t="n"/>
      <c r="Q95" s="121" t="n">
        <v>10</v>
      </c>
      <c r="R95" s="121" t="n">
        <v>85</v>
      </c>
      <c r="S95" s="121" t="n">
        <v>2</v>
      </c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>
        <v>8</v>
      </c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>
        <v>65</v>
      </c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130" t="n"/>
      <c r="AH99" s="130" t="n"/>
      <c r="AI99" s="130" t="n"/>
      <c r="AJ99" s="130" t="n"/>
      <c r="AK99" s="130" t="n"/>
      <c r="AL99" s="130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130" t="n"/>
      <c r="AH100" s="130" t="n"/>
      <c r="AI100" s="130" t="n"/>
      <c r="AJ100" s="130" t="n"/>
      <c r="AK100" s="130" t="n"/>
      <c r="AL100" s="130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131" t="n"/>
      <c r="AH102" s="131" t="n"/>
      <c r="AI102" s="131" t="n"/>
      <c r="AJ102" s="131" t="n"/>
      <c r="AK102" s="131" t="n"/>
      <c r="AL102" s="131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132" t="n"/>
      <c r="AH103" s="132" t="n"/>
      <c r="AI103" s="132" t="n"/>
      <c r="AJ103" s="132" t="n"/>
      <c r="AK103" s="132" t="n"/>
      <c r="AL103" s="132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33" t="n"/>
      <c r="AH104" s="133" t="n"/>
      <c r="AI104" s="133" t="n"/>
      <c r="AJ104" s="133" t="n"/>
      <c r="AK104" s="133" t="n"/>
      <c r="AL104" s="133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5" t="n"/>
      <c r="AI105" s="135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130" t="n"/>
      <c r="AI106" s="130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130" t="n"/>
      <c r="AH117" s="130" t="n"/>
      <c r="AI117" s="130" t="n"/>
      <c r="AJ117" s="130" t="n"/>
      <c r="AK117" s="130" t="n"/>
      <c r="AL117" s="130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130" t="n"/>
      <c r="AH118" s="130" t="n"/>
      <c r="AI118" s="130" t="n"/>
      <c r="AJ118" s="130" t="n"/>
      <c r="AK118" s="130" t="n"/>
      <c r="AL118" s="130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131" t="n"/>
      <c r="AH120" s="131" t="n"/>
      <c r="AI120" s="131" t="n"/>
      <c r="AJ120" s="131" t="n"/>
      <c r="AK120" s="131" t="n"/>
      <c r="AL120" s="131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132" t="n"/>
      <c r="AH121" s="132" t="n"/>
      <c r="AI121" s="132" t="n"/>
      <c r="AJ121" s="132" t="n"/>
      <c r="AK121" s="132" t="n"/>
      <c r="AL121" s="132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33" t="n"/>
      <c r="AH122" s="133" t="n"/>
      <c r="AI122" s="133" t="n"/>
      <c r="AJ122" s="133" t="n"/>
      <c r="AK122" s="133" t="n"/>
      <c r="AL122" s="133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5" t="n"/>
      <c r="AI123" s="135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130" t="n"/>
      <c r="AI124" s="130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96">
    <mergeCell ref="AG4:AH4"/>
    <mergeCell ref="AA111:AA112"/>
    <mergeCell ref="AG115:AL115"/>
    <mergeCell ref="AJ57:AL57"/>
    <mergeCell ref="O53:P53"/>
    <mergeCell ref="E71:F71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T55:X55"/>
    <mergeCell ref="AG78:AL78"/>
    <mergeCell ref="O35:P35"/>
    <mergeCell ref="C56:D56"/>
    <mergeCell ref="AE59:AE70"/>
    <mergeCell ref="T92:X92"/>
    <mergeCell ref="B93:E93"/>
    <mergeCell ref="AB111:AB112"/>
    <mergeCell ref="L75:O75"/>
    <mergeCell ref="T110:X110"/>
    <mergeCell ref="AJ112:AL11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79:AL79"/>
    <mergeCell ref="G57:J57"/>
    <mergeCell ref="AG93:AH93"/>
    <mergeCell ref="Q110:R110"/>
    <mergeCell ref="AG3:AH3"/>
    <mergeCell ref="O17:P17"/>
    <mergeCell ref="Q2:R2"/>
    <mergeCell ref="AJ21:AL21"/>
    <mergeCell ref="Q93:T93"/>
    <mergeCell ref="E74:H74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C92:D92"/>
    <mergeCell ref="T20:X20"/>
    <mergeCell ref="Q37:R37"/>
    <mergeCell ref="AG94:AH94"/>
    <mergeCell ref="AE21:AE22"/>
    <mergeCell ref="L21:O21"/>
    <mergeCell ref="T38:X38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E39:AE40"/>
    <mergeCell ref="Q38:R38"/>
    <mergeCell ref="AE113:AE124"/>
    <mergeCell ref="Q3:T3"/>
    <mergeCell ref="G21:J21"/>
    <mergeCell ref="B3:E3"/>
    <mergeCell ref="AE41:AE52"/>
    <mergeCell ref="T74:X74"/>
    <mergeCell ref="A21:A22"/>
    <mergeCell ref="L57:O57"/>
    <mergeCell ref="A57:A58"/>
    <mergeCell ref="AJ76:AL76"/>
    <mergeCell ref="Q1:R1"/>
    <mergeCell ref="Q39:T39"/>
    <mergeCell ref="E38:H38"/>
    <mergeCell ref="Q111:T111"/>
    <mergeCell ref="AG57:AH57"/>
    <mergeCell ref="O71:P71"/>
    <mergeCell ref="L93:O93"/>
    <mergeCell ref="AD21:AD22"/>
    <mergeCell ref="AG60:AL60"/>
    <mergeCell ref="C110:D110"/>
    <mergeCell ref="J125:K125"/>
    <mergeCell ref="AE77:AE88"/>
    <mergeCell ref="L39:O39"/>
    <mergeCell ref="V39:Y39"/>
    <mergeCell ref="AC57:AC58"/>
    <mergeCell ref="A39:A40"/>
    <mergeCell ref="T19:X19"/>
    <mergeCell ref="AD111:AD112"/>
    <mergeCell ref="AJ39:AL39"/>
    <mergeCell ref="Q91:R91"/>
    <mergeCell ref="E110:H110"/>
    <mergeCell ref="AC3:AC4"/>
    <mergeCell ref="V75:Y75"/>
    <mergeCell ref="AE3:AE4"/>
    <mergeCell ref="AG97:AL97"/>
    <mergeCell ref="AE5:AE16"/>
    <mergeCell ref="AG7:AL7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T71:U71"/>
    <mergeCell ref="AG75:AH75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B57:E57"/>
    <mergeCell ref="E125:F125"/>
    <mergeCell ref="AB93:AB94"/>
    <mergeCell ref="AD93:AD94"/>
    <mergeCell ref="AG6:AL6"/>
    <mergeCell ref="AA93:AA94"/>
    <mergeCell ref="Q56:R56"/>
    <mergeCell ref="T91:X91"/>
    <mergeCell ref="AD39:AD40"/>
    <mergeCell ref="T125:U125"/>
    <mergeCell ref="AG61:AL61"/>
    <mergeCell ref="C74:D74"/>
    <mergeCell ref="AJ3:AL3"/>
    <mergeCell ref="E17:F17"/>
    <mergeCell ref="AB21:AB22"/>
    <mergeCell ref="E35:F35"/>
    <mergeCell ref="A75:A76"/>
    <mergeCell ref="L111:O111"/>
    <mergeCell ref="E56:H56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B57:AB58"/>
    <mergeCell ref="AA3:AA4"/>
    <mergeCell ref="AD57:AD58"/>
    <mergeCell ref="AC21:AC22"/>
    <mergeCell ref="AJ94:AL94"/>
    <mergeCell ref="B111:E111"/>
    <mergeCell ref="G93:J93"/>
    <mergeCell ref="G3:J3"/>
    <mergeCell ref="AG39:AH39"/>
    <mergeCell ref="AG25:AL25"/>
    <mergeCell ref="AJ58:AL58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3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98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98">
        <f>SUM(E18+J18+O18+T18+Y18)</f>
        <v/>
      </c>
      <c r="AH4" s="103" t="n"/>
      <c r="AI4" s="97" t="n"/>
      <c r="AJ4" s="98">
        <f>AE5*AG7</f>
        <v/>
      </c>
      <c r="AK4" s="102" t="n"/>
      <c r="AL4" s="103" t="n"/>
      <c r="AM4" s="97" t="n"/>
      <c r="AN4" s="97" t="n"/>
      <c r="AO4" s="97" t="n"/>
      <c r="AP4" s="97" t="n"/>
      <c r="AQ4" s="97" t="n"/>
    </row>
    <row r="5" ht="21" customHeight="1" s="85">
      <c r="A5" s="121" t="n"/>
      <c r="B5" s="121" t="n"/>
      <c r="C5" s="121" t="n"/>
      <c r="D5" s="121" t="n"/>
      <c r="E5" s="121">
        <f>B5*C5</f>
        <v/>
      </c>
      <c r="F5" s="93" t="n"/>
      <c r="G5" s="121" t="n"/>
      <c r="H5" s="121" t="n"/>
      <c r="I5" s="121" t="n"/>
      <c r="J5" s="121">
        <f>G5*H5</f>
        <v/>
      </c>
      <c r="K5" s="93" t="n"/>
      <c r="L5" s="121" t="n"/>
      <c r="M5" s="121" t="n"/>
      <c r="N5" s="121" t="n"/>
      <c r="O5" s="121">
        <f>L5*M5</f>
        <v/>
      </c>
      <c r="P5" s="93" t="n"/>
      <c r="Q5" s="121" t="n"/>
      <c r="R5" s="121" t="n"/>
      <c r="S5" s="121" t="n"/>
      <c r="T5" s="121">
        <f>Q5*R5</f>
        <v/>
      </c>
      <c r="U5" s="93" t="n"/>
      <c r="V5" s="121" t="n"/>
      <c r="W5" s="121" t="n"/>
      <c r="X5" s="121" t="n"/>
      <c r="Y5" s="121">
        <f>V5*W5</f>
        <v/>
      </c>
      <c r="Z5" s="93" t="n"/>
      <c r="AA5" s="122">
        <f>IFERROR(((I5-D5)/D5)*100,"")</f>
        <v/>
      </c>
      <c r="AB5" s="122">
        <f>IFERROR(((N5-D5)/D5)*100,"")</f>
        <v/>
      </c>
      <c r="AC5" s="122">
        <f>IFERROR(((S5-D5)/D5)*100,"")</f>
        <v/>
      </c>
      <c r="AD5" s="122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130" t="n"/>
      <c r="AH27" s="130" t="n"/>
      <c r="AI27" s="130" t="n"/>
      <c r="AJ27" s="130" t="n"/>
      <c r="AK27" s="130" t="n"/>
      <c r="AL27" s="130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130" t="n"/>
      <c r="AH28" s="130" t="n"/>
      <c r="AI28" s="130" t="n"/>
      <c r="AJ28" s="130" t="n"/>
      <c r="AK28" s="130" t="n"/>
      <c r="AL28" s="130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131" t="n"/>
      <c r="AH30" s="131" t="n"/>
      <c r="AI30" s="131" t="n"/>
      <c r="AJ30" s="131" t="n"/>
      <c r="AK30" s="131" t="n"/>
      <c r="AL30" s="131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132" t="n"/>
      <c r="AH31" s="132" t="n"/>
      <c r="AI31" s="132" t="n"/>
      <c r="AJ31" s="132" t="n"/>
      <c r="AK31" s="132" t="n"/>
      <c r="AL31" s="132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33" t="n"/>
      <c r="AH32" s="133" t="n"/>
      <c r="AI32" s="133" t="n"/>
      <c r="AJ32" s="133" t="n"/>
      <c r="AK32" s="133" t="n"/>
      <c r="AL32" s="133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5" t="n"/>
      <c r="AI33" s="135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130" t="n"/>
      <c r="AI34" s="130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3" t="n"/>
      <c r="Y38" s="9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130" t="n"/>
      <c r="AH45" s="130" t="n"/>
      <c r="AI45" s="130" t="n"/>
      <c r="AJ45" s="130" t="n"/>
      <c r="AK45" s="130" t="n"/>
      <c r="AL45" s="130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130" t="n"/>
      <c r="AH46" s="130" t="n"/>
      <c r="AI46" s="130" t="n"/>
      <c r="AJ46" s="130" t="n"/>
      <c r="AK46" s="130" t="n"/>
      <c r="AL46" s="130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131" t="n"/>
      <c r="AH48" s="131" t="n"/>
      <c r="AI48" s="131" t="n"/>
      <c r="AJ48" s="131" t="n"/>
      <c r="AK48" s="131" t="n"/>
      <c r="AL48" s="131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132" t="n"/>
      <c r="AH49" s="132" t="n"/>
      <c r="AI49" s="132" t="n"/>
      <c r="AJ49" s="132" t="n"/>
      <c r="AK49" s="132" t="n"/>
      <c r="AL49" s="132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33" t="n"/>
      <c r="AH50" s="133" t="n"/>
      <c r="AI50" s="133" t="n"/>
      <c r="AJ50" s="133" t="n"/>
      <c r="AK50" s="133" t="n"/>
      <c r="AL50" s="133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5" t="n"/>
      <c r="AI51" s="135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130" t="n"/>
      <c r="AI52" s="130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130" t="n"/>
      <c r="AH63" s="130" t="n"/>
      <c r="AI63" s="130" t="n"/>
      <c r="AJ63" s="130" t="n"/>
      <c r="AK63" s="130" t="n"/>
      <c r="AL63" s="130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130" t="n"/>
      <c r="AH64" s="130" t="n"/>
      <c r="AI64" s="130" t="n"/>
      <c r="AJ64" s="130" t="n"/>
      <c r="AK64" s="130" t="n"/>
      <c r="AL64" s="130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131" t="n"/>
      <c r="AH66" s="131" t="n"/>
      <c r="AI66" s="131" t="n"/>
      <c r="AJ66" s="131" t="n"/>
      <c r="AK66" s="131" t="n"/>
      <c r="AL66" s="131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132" t="n"/>
      <c r="AH67" s="132" t="n"/>
      <c r="AI67" s="132" t="n"/>
      <c r="AJ67" s="132" t="n"/>
      <c r="AK67" s="132" t="n"/>
      <c r="AL67" s="132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33" t="n"/>
      <c r="AH68" s="133" t="n"/>
      <c r="AI68" s="133" t="n"/>
      <c r="AJ68" s="133" t="n"/>
      <c r="AK68" s="133" t="n"/>
      <c r="AL68" s="133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5" t="n"/>
      <c r="AI69" s="135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130" t="n"/>
      <c r="AI70" s="130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130" t="n"/>
      <c r="AH81" s="130" t="n"/>
      <c r="AI81" s="130" t="n"/>
      <c r="AJ81" s="130" t="n"/>
      <c r="AK81" s="130" t="n"/>
      <c r="AL81" s="130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130" t="n"/>
      <c r="AH82" s="130" t="n"/>
      <c r="AI82" s="130" t="n"/>
      <c r="AJ82" s="130" t="n"/>
      <c r="AK82" s="130" t="n"/>
      <c r="AL82" s="130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131" t="n"/>
      <c r="AH84" s="131" t="n"/>
      <c r="AI84" s="131" t="n"/>
      <c r="AJ84" s="131" t="n"/>
      <c r="AK84" s="131" t="n"/>
      <c r="AL84" s="131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132" t="n"/>
      <c r="AH85" s="132" t="n"/>
      <c r="AI85" s="132" t="n"/>
      <c r="AJ85" s="132" t="n"/>
      <c r="AK85" s="132" t="n"/>
      <c r="AL85" s="132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33" t="n"/>
      <c r="AH86" s="133" t="n"/>
      <c r="AI86" s="133" t="n"/>
      <c r="AJ86" s="133" t="n"/>
      <c r="AK86" s="133" t="n"/>
      <c r="AL86" s="133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5" t="n"/>
      <c r="AI87" s="135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130" t="n"/>
      <c r="AI88" s="130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130" t="n"/>
      <c r="AH99" s="130" t="n"/>
      <c r="AI99" s="130" t="n"/>
      <c r="AJ99" s="130" t="n"/>
      <c r="AK99" s="130" t="n"/>
      <c r="AL99" s="130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130" t="n"/>
      <c r="AH100" s="130" t="n"/>
      <c r="AI100" s="130" t="n"/>
      <c r="AJ100" s="130" t="n"/>
      <c r="AK100" s="130" t="n"/>
      <c r="AL100" s="130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131" t="n"/>
      <c r="AH102" s="131" t="n"/>
      <c r="AI102" s="131" t="n"/>
      <c r="AJ102" s="131" t="n"/>
      <c r="AK102" s="131" t="n"/>
      <c r="AL102" s="131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132" t="n"/>
      <c r="AH103" s="132" t="n"/>
      <c r="AI103" s="132" t="n"/>
      <c r="AJ103" s="132" t="n"/>
      <c r="AK103" s="132" t="n"/>
      <c r="AL103" s="132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33" t="n"/>
      <c r="AH104" s="133" t="n"/>
      <c r="AI104" s="133" t="n"/>
      <c r="AJ104" s="133" t="n"/>
      <c r="AK104" s="133" t="n"/>
      <c r="AL104" s="133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5" t="n"/>
      <c r="AI105" s="135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130" t="n"/>
      <c r="AI106" s="130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130" t="n"/>
      <c r="AH117" s="130" t="n"/>
      <c r="AI117" s="130" t="n"/>
      <c r="AJ117" s="130" t="n"/>
      <c r="AK117" s="130" t="n"/>
      <c r="AL117" s="130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130" t="n"/>
      <c r="AH118" s="130" t="n"/>
      <c r="AI118" s="130" t="n"/>
      <c r="AJ118" s="130" t="n"/>
      <c r="AK118" s="130" t="n"/>
      <c r="AL118" s="130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131" t="n"/>
      <c r="AH120" s="131" t="n"/>
      <c r="AI120" s="131" t="n"/>
      <c r="AJ120" s="131" t="n"/>
      <c r="AK120" s="131" t="n"/>
      <c r="AL120" s="131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132" t="n"/>
      <c r="AH121" s="132" t="n"/>
      <c r="AI121" s="132" t="n"/>
      <c r="AJ121" s="132" t="n"/>
      <c r="AK121" s="132" t="n"/>
      <c r="AL121" s="132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33" t="n"/>
      <c r="AH122" s="133" t="n"/>
      <c r="AI122" s="133" t="n"/>
      <c r="AJ122" s="133" t="n"/>
      <c r="AK122" s="133" t="n"/>
      <c r="AL122" s="133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5" t="n"/>
      <c r="AI123" s="135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130" t="n"/>
      <c r="AI124" s="130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03">
    <mergeCell ref="AG4:AH4"/>
    <mergeCell ref="AA111:AA112"/>
    <mergeCell ref="AG115:AL115"/>
    <mergeCell ref="AJ57:AL57"/>
    <mergeCell ref="O53:P53"/>
    <mergeCell ref="E71:F71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T92:X92"/>
    <mergeCell ref="B93:E93"/>
    <mergeCell ref="AB111:AB112"/>
    <mergeCell ref="L75:O75"/>
    <mergeCell ref="T110:X110"/>
    <mergeCell ref="AJ112:AL11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79:AL79"/>
    <mergeCell ref="G57:J57"/>
    <mergeCell ref="AG93:AH93"/>
    <mergeCell ref="Q110:R110"/>
    <mergeCell ref="AG3:AH3"/>
    <mergeCell ref="O17:P17"/>
    <mergeCell ref="Q2:R2"/>
    <mergeCell ref="AJ21:AL21"/>
    <mergeCell ref="Q93:T93"/>
    <mergeCell ref="E74:H74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C92:D92"/>
    <mergeCell ref="T20:X20"/>
    <mergeCell ref="Q37:R37"/>
    <mergeCell ref="AG94:AH94"/>
    <mergeCell ref="AE21:AE22"/>
    <mergeCell ref="L21:O21"/>
    <mergeCell ref="T38:X38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E39:AE40"/>
    <mergeCell ref="Q38:R38"/>
    <mergeCell ref="AE113:AE124"/>
    <mergeCell ref="Q3:T3"/>
    <mergeCell ref="G21:J21"/>
    <mergeCell ref="B3:E3"/>
    <mergeCell ref="AE41:AE52"/>
    <mergeCell ref="AG12:AL12"/>
    <mergeCell ref="A21:A22"/>
    <mergeCell ref="T74:X74"/>
    <mergeCell ref="L57:O57"/>
    <mergeCell ref="A57:A58"/>
    <mergeCell ref="AJ76:AL76"/>
    <mergeCell ref="Q1:R1"/>
    <mergeCell ref="Q39:T39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J125:K125"/>
    <mergeCell ref="AE77:AE88"/>
    <mergeCell ref="L39:O39"/>
    <mergeCell ref="V39:Y39"/>
    <mergeCell ref="AC57:AC58"/>
    <mergeCell ref="A39:A40"/>
    <mergeCell ref="T19:X19"/>
    <mergeCell ref="AD111:AD112"/>
    <mergeCell ref="AJ39:AL39"/>
    <mergeCell ref="Q91:R91"/>
    <mergeCell ref="E110:H110"/>
    <mergeCell ref="AC3:AC4"/>
    <mergeCell ref="V75:Y75"/>
    <mergeCell ref="AE3:AE4"/>
    <mergeCell ref="AG97:AL97"/>
    <mergeCell ref="AE5:AE16"/>
    <mergeCell ref="AG7:AL7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T71:U71"/>
    <mergeCell ref="AG75:AH75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B57:E57"/>
    <mergeCell ref="E125:F125"/>
    <mergeCell ref="AB93:AB94"/>
    <mergeCell ref="AD93:AD94"/>
    <mergeCell ref="AG6:AL6"/>
    <mergeCell ref="AA93:AA94"/>
    <mergeCell ref="Q56:R56"/>
    <mergeCell ref="T91:X91"/>
    <mergeCell ref="AD39:AD40"/>
    <mergeCell ref="T125:U125"/>
    <mergeCell ref="AG61:AL61"/>
    <mergeCell ref="C74:D74"/>
    <mergeCell ref="AJ3:AL3"/>
    <mergeCell ref="E17:F17"/>
    <mergeCell ref="AB21:AB22"/>
    <mergeCell ref="E35:F35"/>
    <mergeCell ref="A75:A76"/>
    <mergeCell ref="L111:O111"/>
    <mergeCell ref="E56:H56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C21:AC22"/>
    <mergeCell ref="AJ94:AL94"/>
    <mergeCell ref="B111:E111"/>
    <mergeCell ref="G93:J93"/>
    <mergeCell ref="AG10:AL10"/>
    <mergeCell ref="G3:J3"/>
    <mergeCell ref="AG39:AH39"/>
    <mergeCell ref="AG25:AL25"/>
    <mergeCell ref="AH16:AI16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4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5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6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7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8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9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10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11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Q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.14" customWidth="1" style="84" min="1" max="1"/>
    <col width="4.86" customWidth="1" style="84" min="2" max="5"/>
    <col width="1" customWidth="1" style="84" min="6" max="6"/>
    <col width="4.86" customWidth="1" style="84" min="7" max="10"/>
    <col width="0.86" customWidth="1" style="84" min="11" max="11"/>
    <col width="4.86" customWidth="1" style="84" min="12" max="15"/>
    <col width="0.86" customWidth="1" style="84" min="16" max="16"/>
    <col width="4.86" customWidth="1" style="84" min="17" max="20"/>
    <col width="0.86" customWidth="1" style="84" min="21" max="21"/>
    <col width="4.86" customWidth="1" style="84" min="22" max="25"/>
    <col width="0.86" customWidth="1" style="84" min="26" max="26"/>
    <col width="6" customWidth="1" style="84" min="27" max="30"/>
    <col width="12.71" customWidth="1" style="84" min="31" max="31"/>
    <col width="2.57" customWidth="1" style="84" min="32" max="32"/>
    <col width="7" customWidth="1" style="84" min="33" max="34"/>
    <col width="2" customWidth="1" style="84" min="35" max="35"/>
    <col width="7" customWidth="1" style="84" min="36" max="38"/>
    <col width="9.140000000000001" customWidth="1" style="84" min="39" max="43"/>
  </cols>
  <sheetData>
    <row r="1" ht="15" customHeight="1" s="85">
      <c r="A1" s="92" t="inlineStr">
        <is>
          <t>SEMANA 12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4" t="inlineStr">
        <is>
          <t>Son</t>
        </is>
      </c>
      <c r="M1" s="94" t="inlineStr">
        <is>
          <t>Estr</t>
        </is>
      </c>
      <c r="N1" s="94" t="inlineStr">
        <is>
          <t>Fad</t>
        </is>
      </c>
      <c r="O1" s="94" t="inlineStr">
        <is>
          <t>Dor</t>
        </is>
      </c>
      <c r="P1" s="93" t="n"/>
      <c r="Q1" s="95" t="inlineStr">
        <is>
          <t>Média</t>
        </is>
      </c>
      <c r="S1" s="93" t="n"/>
      <c r="T1" s="96" t="inlineStr">
        <is>
          <t>Teste de potência</t>
        </is>
      </c>
      <c r="Y1" s="93" t="n"/>
      <c r="Z1" s="93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</row>
    <row r="2" ht="15" customHeight="1" s="85">
      <c r="A2" s="146" t="inlineStr">
        <is>
          <t>SEGUNDA-FEIRA</t>
        </is>
      </c>
      <c r="B2" s="93" t="n"/>
      <c r="C2" s="99" t="inlineStr">
        <is>
          <t>DATA</t>
        </is>
      </c>
      <c r="D2" s="100" t="n"/>
      <c r="E2" s="143" t="n"/>
      <c r="F2" s="102" t="n"/>
      <c r="G2" s="102" t="n"/>
      <c r="H2" s="103" t="n"/>
      <c r="I2" s="93" t="n"/>
      <c r="J2" s="93" t="n"/>
      <c r="K2" s="93" t="n"/>
      <c r="L2" s="94" t="n"/>
      <c r="M2" s="94" t="n"/>
      <c r="N2" s="94" t="n"/>
      <c r="O2" s="94" t="n"/>
      <c r="P2" s="93" t="n"/>
      <c r="Q2" s="104">
        <f>IFERROR(AVERAGE(L2:O2),"")</f>
        <v/>
      </c>
      <c r="R2" s="103" t="n"/>
      <c r="S2" s="105">
        <f>Q2</f>
        <v/>
      </c>
      <c r="T2" s="121" t="n"/>
      <c r="U2" s="102" t="n"/>
      <c r="V2" s="102" t="n"/>
      <c r="W2" s="102" t="n"/>
      <c r="X2" s="103" t="n"/>
      <c r="Y2" s="93" t="n"/>
      <c r="Z2" s="93" t="n"/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</row>
    <row r="3" ht="15" customHeight="1" s="85">
      <c r="A3" s="106" t="inlineStr">
        <is>
          <t>Exercícios</t>
        </is>
      </c>
      <c r="B3" s="107" t="inlineStr">
        <is>
          <t>série 1</t>
        </is>
      </c>
      <c r="C3" s="102" t="n"/>
      <c r="D3" s="102" t="n"/>
      <c r="E3" s="103" t="n"/>
      <c r="F3" s="96" t="n"/>
      <c r="G3" s="108" t="inlineStr">
        <is>
          <t>série 2</t>
        </is>
      </c>
      <c r="H3" s="100" t="n"/>
      <c r="I3" s="100" t="n"/>
      <c r="J3" s="109" t="n"/>
      <c r="K3" s="96" t="n"/>
      <c r="L3" s="94" t="inlineStr">
        <is>
          <t>série 3</t>
        </is>
      </c>
      <c r="M3" s="102" t="n"/>
      <c r="N3" s="102" t="n"/>
      <c r="O3" s="103" t="n"/>
      <c r="P3" s="96" t="n"/>
      <c r="Q3" s="94" t="inlineStr">
        <is>
          <t>série 4</t>
        </is>
      </c>
      <c r="R3" s="102" t="n"/>
      <c r="S3" s="102" t="n"/>
      <c r="T3" s="103" t="n"/>
      <c r="U3" s="96" t="n"/>
      <c r="V3" s="94" t="inlineStr">
        <is>
          <t>série 5</t>
        </is>
      </c>
      <c r="W3" s="102" t="n"/>
      <c r="X3" s="102" t="n"/>
      <c r="Y3" s="103" t="n"/>
      <c r="Z3" s="96" t="n"/>
      <c r="AA3" s="110" t="inlineStr">
        <is>
          <t>VEL (2x1)</t>
        </is>
      </c>
      <c r="AB3" s="110" t="inlineStr">
        <is>
          <t>VEL (3x1)</t>
        </is>
      </c>
      <c r="AC3" s="110" t="inlineStr">
        <is>
          <t>VEL (4x1)</t>
        </is>
      </c>
      <c r="AD3" s="111" t="inlineStr">
        <is>
          <t>VEL (5x1)</t>
        </is>
      </c>
      <c r="AE3" s="112" t="n"/>
      <c r="AF3" s="97" t="n"/>
      <c r="AG3" s="113" t="inlineStr">
        <is>
          <t>VTT-SESSÃO</t>
        </is>
      </c>
      <c r="AH3" s="114" t="n"/>
      <c r="AI3" s="97" t="n"/>
      <c r="AJ3" s="113" t="inlineStr">
        <is>
          <t>CARGA DE TREINO (U.A)</t>
        </is>
      </c>
      <c r="AK3" s="115" t="n"/>
      <c r="AL3" s="114" t="n"/>
      <c r="AM3" s="97" t="n"/>
      <c r="AN3" s="97" t="n"/>
      <c r="AO3" s="97" t="n"/>
      <c r="AP3" s="97" t="n"/>
      <c r="AQ3" s="97" t="n"/>
    </row>
    <row r="4" ht="23.25" customHeight="1" s="85">
      <c r="A4" s="116" t="n"/>
      <c r="B4" s="117" t="inlineStr">
        <is>
          <t>nº reps</t>
        </is>
      </c>
      <c r="C4" s="117" t="inlineStr">
        <is>
          <t>peso(kg)</t>
        </is>
      </c>
      <c r="D4" s="117" t="inlineStr">
        <is>
          <t>veloc(s)</t>
        </is>
      </c>
      <c r="E4" s="118" t="inlineStr">
        <is>
          <t>VTT (sér)</t>
        </is>
      </c>
      <c r="F4" s="119" t="n"/>
      <c r="G4" s="117" t="inlineStr">
        <is>
          <t>nº reps</t>
        </is>
      </c>
      <c r="H4" s="117" t="inlineStr">
        <is>
          <t>peso(kg)</t>
        </is>
      </c>
      <c r="I4" s="117" t="inlineStr">
        <is>
          <t>veloc(s)</t>
        </is>
      </c>
      <c r="J4" s="118" t="inlineStr">
        <is>
          <t>VTT (sér)</t>
        </is>
      </c>
      <c r="K4" s="119" t="n"/>
      <c r="L4" s="117" t="inlineStr">
        <is>
          <t>nº reps</t>
        </is>
      </c>
      <c r="M4" s="117" t="inlineStr">
        <is>
          <t>peso(kg)</t>
        </is>
      </c>
      <c r="N4" s="117" t="inlineStr">
        <is>
          <t>veloc(s)</t>
        </is>
      </c>
      <c r="O4" s="118" t="inlineStr">
        <is>
          <t>VTT (sér)</t>
        </is>
      </c>
      <c r="P4" s="119" t="n"/>
      <c r="Q4" s="117" t="inlineStr">
        <is>
          <t>nº reps</t>
        </is>
      </c>
      <c r="R4" s="117" t="inlineStr">
        <is>
          <t>peso(kg)</t>
        </is>
      </c>
      <c r="S4" s="117" t="inlineStr">
        <is>
          <t>veloc(s)</t>
        </is>
      </c>
      <c r="T4" s="118" t="inlineStr">
        <is>
          <t>VTT (sér)</t>
        </is>
      </c>
      <c r="U4" s="119" t="n"/>
      <c r="V4" s="117" t="inlineStr">
        <is>
          <t>nº reps</t>
        </is>
      </c>
      <c r="W4" s="117" t="inlineStr">
        <is>
          <t>peso(kg)</t>
        </is>
      </c>
      <c r="X4" s="117" t="inlineStr">
        <is>
          <t>veloc(s)</t>
        </is>
      </c>
      <c r="Y4" s="118" t="inlineStr">
        <is>
          <t>VTT (sér)</t>
        </is>
      </c>
      <c r="Z4" s="119" t="n"/>
      <c r="AA4" s="120" t="n"/>
      <c r="AB4" s="120" t="n"/>
      <c r="AC4" s="120" t="n"/>
      <c r="AD4" s="89" t="n"/>
      <c r="AE4" s="116" t="n"/>
      <c r="AF4" s="97" t="n"/>
      <c r="AG4" s="147">
        <f>SUM(E18+J18+O18+T18+Y18)</f>
        <v/>
      </c>
      <c r="AH4" s="109" t="n"/>
      <c r="AI4" s="97" t="n"/>
      <c r="AJ4" s="147">
        <f>AE5*AG7</f>
        <v/>
      </c>
      <c r="AK4" s="100" t="n"/>
      <c r="AL4" s="109" t="n"/>
      <c r="AM4" s="97" t="n"/>
      <c r="AN4" s="97" t="n"/>
      <c r="AO4" s="97" t="n"/>
      <c r="AP4" s="97" t="n"/>
      <c r="AQ4" s="97" t="n"/>
    </row>
    <row r="5" ht="21" customHeight="1" s="85">
      <c r="A5" s="148" t="n"/>
      <c r="B5" s="148" t="n"/>
      <c r="C5" s="148" t="n"/>
      <c r="D5" s="148" t="n"/>
      <c r="E5" s="121">
        <f>B5*C5</f>
        <v/>
      </c>
      <c r="F5" s="93" t="n"/>
      <c r="G5" s="148" t="n"/>
      <c r="H5" s="148" t="n"/>
      <c r="I5" s="148" t="n"/>
      <c r="J5" s="121">
        <f>G5*H5</f>
        <v/>
      </c>
      <c r="K5" s="93" t="n"/>
      <c r="L5" s="148" t="n"/>
      <c r="M5" s="148" t="n"/>
      <c r="N5" s="148" t="n"/>
      <c r="O5" s="121">
        <f>L5*M5</f>
        <v/>
      </c>
      <c r="P5" s="93" t="n"/>
      <c r="Q5" s="148" t="n"/>
      <c r="R5" s="148" t="n"/>
      <c r="S5" s="148" t="n"/>
      <c r="T5" s="121">
        <f>Q5*R5</f>
        <v/>
      </c>
      <c r="U5" s="93" t="n"/>
      <c r="V5" s="148" t="n"/>
      <c r="W5" s="148" t="n"/>
      <c r="X5" s="148" t="n"/>
      <c r="Y5" s="121">
        <f>V5*W5</f>
        <v/>
      </c>
      <c r="Z5" s="93" t="n"/>
      <c r="AA5" s="149">
        <f>IFERROR(((I5-D5)/D5)*100,"")</f>
        <v/>
      </c>
      <c r="AB5" s="149">
        <f>IFERROR(((N5-D5)/D5)*100,"")</f>
        <v/>
      </c>
      <c r="AC5" s="149">
        <f>IFERROR(((S5-D5)/D5)*100,"")</f>
        <v/>
      </c>
      <c r="AD5" s="149">
        <f>IFERROR(((X5-D5)/D5)*100,"")</f>
        <v/>
      </c>
      <c r="AE5" s="123" t="n"/>
      <c r="AF5" s="97" t="n"/>
      <c r="AG5" s="97" t="n"/>
      <c r="AH5" s="97" t="n"/>
      <c r="AI5" s="97" t="n"/>
      <c r="AJ5" s="97" t="n"/>
      <c r="AK5" s="97" t="n"/>
      <c r="AL5" s="97" t="n"/>
      <c r="AM5" s="97" t="n"/>
      <c r="AN5" s="97" t="n"/>
      <c r="AO5" s="97" t="n"/>
      <c r="AP5" s="97" t="n"/>
      <c r="AQ5" s="97" t="n"/>
    </row>
    <row r="6" ht="21" customHeight="1" s="85">
      <c r="A6" s="124" t="inlineStr">
        <is>
          <t>Cadeira Abdutora 90°</t>
        </is>
      </c>
      <c r="B6" s="124" t="n"/>
      <c r="C6" s="124" t="n"/>
      <c r="D6" s="124" t="n"/>
      <c r="E6" s="124">
        <f>B6*C6</f>
        <v/>
      </c>
      <c r="F6" s="93" t="n"/>
      <c r="G6" s="124" t="n"/>
      <c r="H6" s="124" t="n"/>
      <c r="I6" s="124" t="n"/>
      <c r="J6" s="124">
        <f>G6*H6</f>
        <v/>
      </c>
      <c r="K6" s="93" t="n"/>
      <c r="L6" s="124" t="n"/>
      <c r="M6" s="124" t="n"/>
      <c r="N6" s="124" t="n"/>
      <c r="O6" s="124">
        <f>L6*M6</f>
        <v/>
      </c>
      <c r="P6" s="93" t="n"/>
      <c r="Q6" s="124" t="n"/>
      <c r="R6" s="124" t="n"/>
      <c r="S6" s="124" t="n"/>
      <c r="T6" s="124">
        <f>Q6*R6</f>
        <v/>
      </c>
      <c r="U6" s="93" t="n"/>
      <c r="V6" s="124" t="n"/>
      <c r="W6" s="124" t="n"/>
      <c r="X6" s="124" t="n"/>
      <c r="Y6" s="124">
        <f>V6*W6</f>
        <v/>
      </c>
      <c r="Z6" s="93" t="n"/>
      <c r="AA6" s="125">
        <f>IFERROR(((I6-D6)/D6)*100,"")</f>
        <v/>
      </c>
      <c r="AB6" s="125">
        <f>IFERROR(((N6-D6)/D6)*100,"")</f>
        <v/>
      </c>
      <c r="AC6" s="125">
        <f>IFERROR(((S6-D6)/D6)*100,"")</f>
        <v/>
      </c>
      <c r="AD6" s="125">
        <f>IFERROR(((X6-D6)/D6)*100,"")</f>
        <v/>
      </c>
      <c r="AE6" s="126" t="n"/>
      <c r="AF6" s="97" t="n"/>
      <c r="AG6" s="113" t="inlineStr">
        <is>
          <t>Tempo total sessão (min)</t>
        </is>
      </c>
      <c r="AH6" s="115" t="n"/>
      <c r="AI6" s="115" t="n"/>
      <c r="AJ6" s="115" t="n"/>
      <c r="AK6" s="115" t="n"/>
      <c r="AL6" s="114" t="n"/>
      <c r="AM6" s="97" t="n"/>
      <c r="AN6" s="97" t="n"/>
      <c r="AO6" s="97" t="n"/>
      <c r="AP6" s="97" t="n"/>
      <c r="AQ6" s="97" t="n"/>
    </row>
    <row r="7" ht="21" customHeight="1" s="85">
      <c r="A7" s="121" t="inlineStr">
        <is>
          <t>Elevação Pélvica (livre/máq)</t>
        </is>
      </c>
      <c r="B7" s="121" t="n"/>
      <c r="C7" s="121" t="n"/>
      <c r="D7" s="121" t="n"/>
      <c r="E7" s="121">
        <f>B7*C7</f>
        <v/>
      </c>
      <c r="F7" s="93" t="n"/>
      <c r="G7" s="121" t="n"/>
      <c r="H7" s="121" t="n"/>
      <c r="I7" s="121" t="n"/>
      <c r="J7" s="121">
        <f>G7*H7</f>
        <v/>
      </c>
      <c r="K7" s="93" t="n"/>
      <c r="L7" s="121" t="n"/>
      <c r="M7" s="121" t="n"/>
      <c r="N7" s="121" t="n"/>
      <c r="O7" s="121">
        <f>L7*M7</f>
        <v/>
      </c>
      <c r="P7" s="93" t="n"/>
      <c r="Q7" s="121" t="n"/>
      <c r="R7" s="121" t="n"/>
      <c r="S7" s="121" t="n"/>
      <c r="T7" s="121">
        <f>Q7*R7</f>
        <v/>
      </c>
      <c r="U7" s="93" t="n"/>
      <c r="V7" s="121" t="n"/>
      <c r="W7" s="121" t="n"/>
      <c r="X7" s="121" t="n"/>
      <c r="Y7" s="121">
        <f>V7*W7</f>
        <v/>
      </c>
      <c r="Z7" s="93" t="n"/>
      <c r="AA7" s="122">
        <f>IFERROR(((I7-D7)/D7)*100,"")</f>
        <v/>
      </c>
      <c r="AB7" s="122">
        <f>IFERROR(((N7-D7)/D7)*100,"")</f>
        <v/>
      </c>
      <c r="AC7" s="122">
        <f>IFERROR(((S7-D7)/D7)*100,"")</f>
        <v/>
      </c>
      <c r="AD7" s="122">
        <f>IFERROR(((X7-D7)/D7)*100,"")</f>
        <v/>
      </c>
      <c r="AE7" s="126" t="n"/>
      <c r="AF7" s="97" t="n"/>
      <c r="AG7" s="127" t="n"/>
      <c r="AH7" s="128" t="n"/>
      <c r="AI7" s="128" t="n"/>
      <c r="AJ7" s="128" t="n"/>
      <c r="AK7" s="128" t="n"/>
      <c r="AL7" s="129" t="n"/>
      <c r="AM7" s="97" t="n"/>
      <c r="AN7" s="97" t="n"/>
      <c r="AO7" s="97" t="n"/>
      <c r="AP7" s="97" t="n"/>
      <c r="AQ7" s="97" t="n"/>
    </row>
    <row r="8" ht="21" customHeight="1" s="85">
      <c r="A8" s="124" t="inlineStr">
        <is>
          <t>Afundo no Smith</t>
        </is>
      </c>
      <c r="B8" s="124" t="n"/>
      <c r="C8" s="124" t="n"/>
      <c r="D8" s="124" t="n"/>
      <c r="E8" s="124">
        <f>B8*C8</f>
        <v/>
      </c>
      <c r="F8" s="93" t="n"/>
      <c r="G8" s="124" t="n"/>
      <c r="H8" s="124" t="n"/>
      <c r="I8" s="124" t="n"/>
      <c r="J8" s="124">
        <f>G8*H8</f>
        <v/>
      </c>
      <c r="K8" s="93" t="n"/>
      <c r="L8" s="124" t="n"/>
      <c r="M8" s="124" t="n"/>
      <c r="N8" s="124" t="n"/>
      <c r="O8" s="124">
        <f>L8*M8</f>
        <v/>
      </c>
      <c r="P8" s="93" t="n"/>
      <c r="Q8" s="124" t="n"/>
      <c r="R8" s="124" t="n"/>
      <c r="S8" s="124" t="n"/>
      <c r="T8" s="124">
        <f>Q8*R8</f>
        <v/>
      </c>
      <c r="U8" s="93" t="n"/>
      <c r="V8" s="124" t="n"/>
      <c r="W8" s="124" t="n"/>
      <c r="X8" s="124" t="n"/>
      <c r="Y8" s="124">
        <f>V8*W8</f>
        <v/>
      </c>
      <c r="Z8" s="93" t="n"/>
      <c r="AA8" s="125">
        <f>IFERROR(((I8-D8)/D8)*100,"")</f>
        <v/>
      </c>
      <c r="AB8" s="125">
        <f>IFERROR(((N8-D8)/D8)*100,"")</f>
        <v/>
      </c>
      <c r="AC8" s="125">
        <f>IFERROR(((S8-D8)/D8)*100,"")</f>
        <v/>
      </c>
      <c r="AD8" s="125">
        <f>IFERROR(((X8-D8)/D8)*100,"")</f>
        <v/>
      </c>
      <c r="AE8" s="126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</row>
    <row r="9" ht="21" customHeight="1" s="85">
      <c r="A9" s="121" t="inlineStr">
        <is>
          <t>Agachamento Livre</t>
        </is>
      </c>
      <c r="B9" s="121" t="n"/>
      <c r="C9" s="121" t="n"/>
      <c r="D9" s="121" t="n"/>
      <c r="E9" s="121">
        <f>B9*C9</f>
        <v/>
      </c>
      <c r="F9" s="93" t="n"/>
      <c r="G9" s="121" t="n"/>
      <c r="H9" s="121" t="n"/>
      <c r="I9" s="121" t="n"/>
      <c r="J9" s="121">
        <f>G9*H9</f>
        <v/>
      </c>
      <c r="K9" s="93" t="n"/>
      <c r="L9" s="121" t="n"/>
      <c r="M9" s="121" t="n"/>
      <c r="N9" s="121" t="n"/>
      <c r="O9" s="121">
        <f>L9*M9</f>
        <v/>
      </c>
      <c r="P9" s="93" t="n"/>
      <c r="Q9" s="121" t="n"/>
      <c r="R9" s="121" t="n"/>
      <c r="S9" s="121" t="n"/>
      <c r="T9" s="121">
        <f>Q9*R9</f>
        <v/>
      </c>
      <c r="U9" s="93" t="n"/>
      <c r="V9" s="121" t="n"/>
      <c r="W9" s="121" t="n"/>
      <c r="X9" s="121" t="n"/>
      <c r="Y9" s="121">
        <f>V9*W9</f>
        <v/>
      </c>
      <c r="Z9" s="93" t="n"/>
      <c r="AA9" s="122">
        <f>IFERROR(((I9-D9)/D9)*100,"")</f>
        <v/>
      </c>
      <c r="AB9" s="122">
        <f>IFERROR(((N9-D9)/D9)*100,"")</f>
        <v/>
      </c>
      <c r="AC9" s="122">
        <f>IFERROR(((S9-D9)/D9)*100,"")</f>
        <v/>
      </c>
      <c r="AD9" s="122">
        <f>IFERROR(((X9-D9)/D9)*100,"")</f>
        <v/>
      </c>
      <c r="AE9" s="126" t="n"/>
      <c r="AF9" s="97" t="n"/>
      <c r="AG9" s="92" t="n"/>
      <c r="AM9" s="97" t="n"/>
      <c r="AN9" s="97" t="n"/>
      <c r="AO9" s="97" t="n"/>
      <c r="AP9" s="97" t="n"/>
      <c r="AQ9" s="97" t="n"/>
    </row>
    <row r="10" ht="21" customHeight="1" s="85">
      <c r="A10" s="124" t="inlineStr">
        <is>
          <t>Leg Press 45°</t>
        </is>
      </c>
      <c r="B10" s="124" t="n"/>
      <c r="C10" s="124" t="n"/>
      <c r="D10" s="124" t="n"/>
      <c r="E10" s="124">
        <f>B10*C10</f>
        <v/>
      </c>
      <c r="F10" s="93" t="n"/>
      <c r="G10" s="124" t="n"/>
      <c r="H10" s="124" t="n"/>
      <c r="I10" s="124" t="n"/>
      <c r="J10" s="124">
        <f>G10*H10</f>
        <v/>
      </c>
      <c r="K10" s="93" t="n"/>
      <c r="L10" s="124" t="n"/>
      <c r="M10" s="124" t="n"/>
      <c r="N10" s="124" t="n"/>
      <c r="O10" s="124">
        <f>L10*M10</f>
        <v/>
      </c>
      <c r="P10" s="93" t="n"/>
      <c r="Q10" s="124" t="n"/>
      <c r="R10" s="124" t="n"/>
      <c r="S10" s="124" t="n"/>
      <c r="T10" s="124">
        <f>Q10*R10</f>
        <v/>
      </c>
      <c r="U10" s="93" t="n"/>
      <c r="V10" s="124" t="n"/>
      <c r="W10" s="124" t="n"/>
      <c r="X10" s="124" t="n"/>
      <c r="Y10" s="124">
        <f>V10*W10</f>
        <v/>
      </c>
      <c r="Z10" s="93" t="n"/>
      <c r="AA10" s="125">
        <f>IFERROR(((I10-D10)/D10)*100,"")</f>
        <v/>
      </c>
      <c r="AB10" s="125">
        <f>IFERROR(((N10-D10)/D10)*100,"")</f>
        <v/>
      </c>
      <c r="AC10" s="125">
        <f>IFERROR(((S10-D10)/D10)*100,"")</f>
        <v/>
      </c>
      <c r="AD10" s="125">
        <f>IFERROR(((X10-D10)/D10)*100,"")</f>
        <v/>
      </c>
      <c r="AE10" s="126" t="n"/>
      <c r="AF10" s="97" t="n"/>
      <c r="AG10" s="92" t="n"/>
      <c r="AM10" s="97" t="n"/>
      <c r="AN10" s="97" t="n"/>
      <c r="AO10" s="97" t="n"/>
      <c r="AP10" s="97" t="n"/>
      <c r="AQ10" s="97" t="n"/>
    </row>
    <row r="11" ht="21" customHeight="1" s="85">
      <c r="A11" s="121" t="inlineStr">
        <is>
          <t>Cadeira Extensora</t>
        </is>
      </c>
      <c r="B11" s="121" t="n"/>
      <c r="C11" s="121" t="n"/>
      <c r="D11" s="121" t="n"/>
      <c r="E11" s="121">
        <f>B11*C11</f>
        <v/>
      </c>
      <c r="F11" s="93" t="n"/>
      <c r="G11" s="121" t="n"/>
      <c r="H11" s="121" t="n"/>
      <c r="I11" s="121" t="n"/>
      <c r="J11" s="121">
        <f>G11*H11</f>
        <v/>
      </c>
      <c r="K11" s="93" t="n"/>
      <c r="L11" s="121" t="n"/>
      <c r="M11" s="121" t="n"/>
      <c r="N11" s="121" t="n"/>
      <c r="O11" s="121">
        <f>L11*M11</f>
        <v/>
      </c>
      <c r="P11" s="93" t="n"/>
      <c r="Q11" s="121" t="n"/>
      <c r="R11" s="121" t="n"/>
      <c r="S11" s="121" t="n"/>
      <c r="T11" s="121">
        <f>Q11*R11</f>
        <v/>
      </c>
      <c r="U11" s="93" t="n"/>
      <c r="V11" s="121" t="n"/>
      <c r="W11" s="121" t="n"/>
      <c r="X11" s="121" t="n"/>
      <c r="Y11" s="121">
        <f>V11*W11</f>
        <v/>
      </c>
      <c r="Z11" s="93" t="n"/>
      <c r="AA11" s="122">
        <f>IFERROR(((I11-D11)/D11)*100,"")</f>
        <v/>
      </c>
      <c r="AB11" s="122">
        <f>IFERROR(((N11-D11)/D11)*100,"")</f>
        <v/>
      </c>
      <c r="AC11" s="122">
        <f>IFERROR(((S11-D11)/D11)*100,"")</f>
        <v/>
      </c>
      <c r="AD11" s="122">
        <f>IFERROR(((X11-D11)/D11)*100,"")</f>
        <v/>
      </c>
      <c r="AE11" s="126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  <c r="AP11" s="97" t="n"/>
      <c r="AQ11" s="97" t="n"/>
    </row>
    <row r="12" ht="21" customHeight="1" s="85">
      <c r="A12" s="124" t="inlineStr">
        <is>
          <t>Gêmeos Sentado</t>
        </is>
      </c>
      <c r="B12" s="124" t="n"/>
      <c r="C12" s="124" t="n"/>
      <c r="D12" s="124" t="n"/>
      <c r="E12" s="124">
        <f>B12*C12</f>
        <v/>
      </c>
      <c r="F12" s="93" t="n"/>
      <c r="G12" s="124" t="n"/>
      <c r="H12" s="124" t="n"/>
      <c r="I12" s="124" t="n"/>
      <c r="J12" s="124">
        <f>G12*H12</f>
        <v/>
      </c>
      <c r="K12" s="93" t="n"/>
      <c r="L12" s="124" t="n"/>
      <c r="M12" s="124" t="n"/>
      <c r="N12" s="124" t="n"/>
      <c r="O12" s="124">
        <f>L12*M12</f>
        <v/>
      </c>
      <c r="P12" s="93" t="n"/>
      <c r="Q12" s="124" t="n"/>
      <c r="R12" s="124" t="n"/>
      <c r="S12" s="124" t="n"/>
      <c r="T12" s="124">
        <f>Q12*R12</f>
        <v/>
      </c>
      <c r="U12" s="93" t="n"/>
      <c r="V12" s="124" t="n"/>
      <c r="W12" s="124" t="n"/>
      <c r="X12" s="124" t="n"/>
      <c r="Y12" s="124">
        <f>V12*W12</f>
        <v/>
      </c>
      <c r="Z12" s="93" t="n"/>
      <c r="AA12" s="125">
        <f>IFERROR(((I12-D12)/D12)*100,"")</f>
        <v/>
      </c>
      <c r="AB12" s="125">
        <f>IFERROR(((N12-D12)/D12)*100,"")</f>
        <v/>
      </c>
      <c r="AC12" s="125">
        <f>IFERROR(((S12-D12)/D12)*100,"")</f>
        <v/>
      </c>
      <c r="AD12" s="125">
        <f>IFERROR(((X12-D12)/D12)*100,"")</f>
        <v/>
      </c>
      <c r="AE12" s="126" t="n"/>
      <c r="AF12" s="97" t="n"/>
      <c r="AG12" s="96" t="n"/>
      <c r="AM12" s="97" t="n"/>
      <c r="AN12" s="97" t="n"/>
      <c r="AO12" s="97" t="n"/>
      <c r="AP12" s="97" t="n"/>
      <c r="AQ12" s="97" t="n"/>
    </row>
    <row r="13" ht="21" customHeight="1" s="85">
      <c r="A13" s="121" t="inlineStr">
        <is>
          <t>Gêmeos Máquina em Pé</t>
        </is>
      </c>
      <c r="B13" s="121" t="n"/>
      <c r="C13" s="121" t="n"/>
      <c r="D13" s="121" t="n"/>
      <c r="E13" s="121">
        <f>B13*C13</f>
        <v/>
      </c>
      <c r="F13" s="93" t="n"/>
      <c r="G13" s="121" t="n"/>
      <c r="H13" s="121" t="n"/>
      <c r="I13" s="121" t="n"/>
      <c r="J13" s="121">
        <f>G13*H13</f>
        <v/>
      </c>
      <c r="K13" s="93" t="n"/>
      <c r="L13" s="121" t="n"/>
      <c r="M13" s="121" t="n"/>
      <c r="N13" s="121" t="n"/>
      <c r="O13" s="121">
        <f>L13*M13</f>
        <v/>
      </c>
      <c r="P13" s="93" t="n"/>
      <c r="Q13" s="121" t="n"/>
      <c r="R13" s="121" t="n"/>
      <c r="S13" s="121" t="n"/>
      <c r="T13" s="121">
        <f>Q13*R13</f>
        <v/>
      </c>
      <c r="U13" s="93" t="n"/>
      <c r="V13" s="121" t="n"/>
      <c r="W13" s="121" t="n"/>
      <c r="X13" s="121" t="n"/>
      <c r="Y13" s="121">
        <f>V13*W13</f>
        <v/>
      </c>
      <c r="Z13" s="93" t="n"/>
      <c r="AA13" s="122">
        <f>IFERROR(((I13-D13)/D13)*100,"")</f>
        <v/>
      </c>
      <c r="AB13" s="122">
        <f>IFERROR(((N13-D13)/D13)*100,"")</f>
        <v/>
      </c>
      <c r="AC13" s="122">
        <f>IFERROR(((S13-D13)/D13)*100,"")</f>
        <v/>
      </c>
      <c r="AD13" s="122">
        <f>IFERROR(((X13-D13)/D13)*100,"")</f>
        <v/>
      </c>
      <c r="AE13" s="126" t="n"/>
      <c r="AF13" s="97" t="n"/>
      <c r="AG13" s="93" t="n"/>
      <c r="AM13" s="97" t="n"/>
      <c r="AN13" s="97" t="n"/>
      <c r="AO13" s="97" t="n"/>
      <c r="AP13" s="97" t="n"/>
      <c r="AQ13" s="97" t="n"/>
    </row>
    <row r="14" ht="21" customHeight="1" s="85">
      <c r="A14" s="124" t="n"/>
      <c r="B14" s="124" t="n"/>
      <c r="C14" s="124" t="n"/>
      <c r="D14" s="124" t="n"/>
      <c r="E14" s="124">
        <f>B14*C14</f>
        <v/>
      </c>
      <c r="F14" s="93" t="n"/>
      <c r="G14" s="124" t="n"/>
      <c r="H14" s="124" t="n"/>
      <c r="I14" s="124" t="n"/>
      <c r="J14" s="124">
        <f>G14*H14</f>
        <v/>
      </c>
      <c r="K14" s="93" t="n"/>
      <c r="L14" s="124" t="n"/>
      <c r="M14" s="124" t="n"/>
      <c r="N14" s="124" t="n"/>
      <c r="O14" s="124">
        <f>L14*M14</f>
        <v/>
      </c>
      <c r="P14" s="93" t="n"/>
      <c r="Q14" s="124" t="n"/>
      <c r="R14" s="124" t="n"/>
      <c r="S14" s="124" t="n"/>
      <c r="T14" s="124">
        <f>Q14*R14</f>
        <v/>
      </c>
      <c r="U14" s="93" t="n"/>
      <c r="V14" s="124" t="n"/>
      <c r="W14" s="124" t="n"/>
      <c r="X14" s="124" t="n"/>
      <c r="Y14" s="124">
        <f>V14*W14</f>
        <v/>
      </c>
      <c r="Z14" s="93" t="n"/>
      <c r="AA14" s="125">
        <f>IFERROR(((I14-D14)/D14)*100,"")</f>
        <v/>
      </c>
      <c r="AB14" s="125">
        <f>IFERROR(((N14-D14)/D14)*100,"")</f>
        <v/>
      </c>
      <c r="AC14" s="125">
        <f>IFERROR(((S14-D14)/D14)*100,"")</f>
        <v/>
      </c>
      <c r="AD14" s="125">
        <f>IFERROR(((X14-D14)/D14)*100,"")</f>
        <v/>
      </c>
      <c r="AE14" s="126" t="n"/>
      <c r="AF14" s="97" t="n"/>
      <c r="AG14" s="145" t="n"/>
      <c r="AM14" s="97" t="n"/>
      <c r="AN14" s="97" t="n"/>
      <c r="AO14" s="97" t="n"/>
      <c r="AP14" s="97" t="n"/>
      <c r="AQ14" s="97" t="n"/>
    </row>
    <row r="15" ht="21" customHeight="1" s="85">
      <c r="A15" s="121" t="n"/>
      <c r="B15" s="121" t="n"/>
      <c r="C15" s="121" t="n"/>
      <c r="D15" s="121" t="n"/>
      <c r="E15" s="121">
        <f>B15*C15</f>
        <v/>
      </c>
      <c r="F15" s="93" t="n"/>
      <c r="G15" s="121" t="n"/>
      <c r="H15" s="121" t="n"/>
      <c r="I15" s="121" t="n"/>
      <c r="J15" s="121">
        <f>G15*H15</f>
        <v/>
      </c>
      <c r="K15" s="93" t="n"/>
      <c r="L15" s="121" t="n"/>
      <c r="M15" s="121" t="n"/>
      <c r="N15" s="121" t="n"/>
      <c r="O15" s="121">
        <f>L15*M15</f>
        <v/>
      </c>
      <c r="P15" s="93" t="n"/>
      <c r="Q15" s="121" t="n"/>
      <c r="R15" s="121" t="n"/>
      <c r="S15" s="121" t="n"/>
      <c r="T15" s="121">
        <f>Q15*R15</f>
        <v/>
      </c>
      <c r="U15" s="93" t="n"/>
      <c r="V15" s="121" t="n"/>
      <c r="W15" s="121" t="n"/>
      <c r="X15" s="121" t="n"/>
      <c r="Y15" s="121">
        <f>V15*W15</f>
        <v/>
      </c>
      <c r="Z15" s="93" t="n"/>
      <c r="AA15" s="122">
        <f>IFERROR(((I15-D15)/D15)*100,"")</f>
        <v/>
      </c>
      <c r="AB15" s="122">
        <f>IFERROR(((N15-D15)/D15)*100,"")</f>
        <v/>
      </c>
      <c r="AC15" s="122">
        <f>IFERROR(((S15-D15)/D15)*100,"")</f>
        <v/>
      </c>
      <c r="AD15" s="122">
        <f>IFERROR(((X15-D15)/D15)*100,"")</f>
        <v/>
      </c>
      <c r="AE15" s="126" t="n"/>
      <c r="AF15" s="97" t="n"/>
      <c r="AG15" s="134" t="n"/>
      <c r="AH15" s="134" t="n"/>
      <c r="AJ15" s="134" t="n"/>
      <c r="AK15" s="134" t="n"/>
      <c r="AL15" s="134" t="n"/>
      <c r="AM15" s="97" t="n"/>
      <c r="AN15" s="97" t="n"/>
      <c r="AO15" s="97" t="n"/>
      <c r="AP15" s="97" t="n"/>
      <c r="AQ15" s="97" t="n"/>
    </row>
    <row r="16" ht="21" customHeight="1" s="85">
      <c r="A16" s="124" t="n"/>
      <c r="B16" s="124" t="n"/>
      <c r="C16" s="124" t="n"/>
      <c r="D16" s="124" t="n"/>
      <c r="E16" s="124">
        <f>B16*C16</f>
        <v/>
      </c>
      <c r="F16" s="93" t="n"/>
      <c r="G16" s="124" t="n"/>
      <c r="H16" s="124" t="n"/>
      <c r="I16" s="124" t="n"/>
      <c r="J16" s="124">
        <f>G16*H16</f>
        <v/>
      </c>
      <c r="K16" s="93" t="n"/>
      <c r="L16" s="124" t="n"/>
      <c r="M16" s="124" t="n"/>
      <c r="N16" s="124" t="n"/>
      <c r="O16" s="124">
        <f>L16*M16</f>
        <v/>
      </c>
      <c r="P16" s="93" t="n"/>
      <c r="Q16" s="124" t="n"/>
      <c r="R16" s="124" t="n"/>
      <c r="S16" s="124" t="n"/>
      <c r="T16" s="124">
        <f>Q16*R16</f>
        <v/>
      </c>
      <c r="U16" s="93" t="n"/>
      <c r="V16" s="124" t="n"/>
      <c r="W16" s="124" t="n"/>
      <c r="X16" s="124" t="n"/>
      <c r="Y16" s="124">
        <f>V16*W16</f>
        <v/>
      </c>
      <c r="Z16" s="93" t="n"/>
      <c r="AA16" s="125">
        <f>IFERROR(((I16-D16)/D16)*100,"")</f>
        <v/>
      </c>
      <c r="AB16" s="125">
        <f>IFERROR(((N16-D16)/D16)*100,"")</f>
        <v/>
      </c>
      <c r="AC16" s="125">
        <f>IFERROR(((S16-D16)/D16)*100,"")</f>
        <v/>
      </c>
      <c r="AD16" s="125">
        <f>IFERROR(((X16-D16)/D16)*100,"")</f>
        <v/>
      </c>
      <c r="AE16" s="137" t="n"/>
      <c r="AF16" s="97" t="n"/>
      <c r="AG16" s="92" t="n"/>
      <c r="AH16" s="92" t="n"/>
      <c r="AJ16" s="92" t="n"/>
      <c r="AK16" s="92" t="n"/>
      <c r="AL16" s="92" t="n"/>
      <c r="AM16" s="138" t="n"/>
      <c r="AN16" s="138">
        <f>AH16*AH15</f>
        <v/>
      </c>
      <c r="AO16" s="138">
        <f>AJ16*AJ15</f>
        <v/>
      </c>
      <c r="AP16" s="138">
        <f>AK16*AK15</f>
        <v/>
      </c>
      <c r="AQ16" s="138">
        <f>AL16*AL15</f>
        <v/>
      </c>
    </row>
    <row r="17" ht="21" customHeight="1" s="85">
      <c r="A17" s="93" t="n"/>
      <c r="B17" s="93" t="n"/>
      <c r="C17" s="93" t="n"/>
      <c r="D17" s="93" t="n"/>
      <c r="E17" s="139" t="inlineStr">
        <is>
          <t>PR</t>
        </is>
      </c>
      <c r="F17" s="140" t="n"/>
      <c r="G17" s="121" t="n"/>
      <c r="H17" s="93" t="n"/>
      <c r="I17" s="93" t="n"/>
      <c r="J17" s="139" t="inlineStr">
        <is>
          <t>PR</t>
        </is>
      </c>
      <c r="K17" s="140" t="n"/>
      <c r="L17" s="121" t="n"/>
      <c r="M17" s="93" t="n"/>
      <c r="N17" s="93" t="n"/>
      <c r="O17" s="139" t="inlineStr">
        <is>
          <t>PR</t>
        </is>
      </c>
      <c r="P17" s="140" t="n"/>
      <c r="Q17" s="121" t="n"/>
      <c r="R17" s="93" t="n"/>
      <c r="S17" s="93" t="n"/>
      <c r="T17" s="139" t="inlineStr">
        <is>
          <t>PR</t>
        </is>
      </c>
      <c r="U17" s="140" t="n"/>
      <c r="V17" s="121" t="n"/>
      <c r="W17" s="93" t="n"/>
      <c r="X17" s="93" t="n"/>
      <c r="Y17" s="93" t="n"/>
      <c r="Z17" s="93" t="n"/>
      <c r="AA17" s="97" t="n"/>
      <c r="AB17" s="97" t="n"/>
      <c r="AC17" s="92" t="inlineStr">
        <is>
          <t>PR-M</t>
        </is>
      </c>
      <c r="AD17" s="97">
        <f>IFERROR(AVERAGE(G17,L17,Q17,V17),"")</f>
        <v/>
      </c>
      <c r="AE17" s="141" t="n"/>
      <c r="AF17" s="97" t="n"/>
      <c r="AG17" s="92" t="n"/>
      <c r="AH17" s="92" t="n"/>
      <c r="AI17" s="92" t="n"/>
      <c r="AJ17" s="92" t="n"/>
      <c r="AK17" s="92" t="n"/>
      <c r="AL17" s="92" t="n"/>
      <c r="AM17" s="138" t="n"/>
      <c r="AN17" s="138" t="n"/>
      <c r="AO17" s="138" t="n"/>
      <c r="AP17" s="138" t="n"/>
      <c r="AQ17" s="138" t="n"/>
    </row>
    <row r="18" ht="15" customHeight="1" s="85">
      <c r="A18" s="97" t="n"/>
      <c r="B18" s="93" t="n"/>
      <c r="C18" s="93" t="n"/>
      <c r="D18" s="93" t="n"/>
      <c r="E18" s="142">
        <f>SUM(E5:E16)</f>
        <v/>
      </c>
      <c r="F18" s="142" t="n"/>
      <c r="G18" s="142" t="n"/>
      <c r="H18" s="142" t="n"/>
      <c r="I18" s="142" t="n"/>
      <c r="J18" s="142">
        <f>SUM(J5:J16)</f>
        <v/>
      </c>
      <c r="K18" s="142" t="n"/>
      <c r="L18" s="142" t="n"/>
      <c r="M18" s="142" t="n"/>
      <c r="N18" s="142" t="n"/>
      <c r="O18" s="142">
        <f>SUM(O5:O16)</f>
        <v/>
      </c>
      <c r="P18" s="142" t="n"/>
      <c r="Q18" s="142" t="n"/>
      <c r="R18" s="142" t="n"/>
      <c r="S18" s="142" t="n"/>
      <c r="T18" s="142">
        <f>SUM(T5:T16)</f>
        <v/>
      </c>
      <c r="U18" s="142" t="n"/>
      <c r="V18" s="142" t="n"/>
      <c r="W18" s="142" t="n"/>
      <c r="X18" s="142" t="n"/>
      <c r="Y18" s="142">
        <f>SUM(Y5:Y16)</f>
        <v/>
      </c>
      <c r="Z18" s="142" t="n"/>
      <c r="AA18" s="138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  <c r="AP18" s="97" t="n"/>
      <c r="AQ18" s="97" t="n"/>
    </row>
    <row r="19" ht="15" customHeight="1" s="85">
      <c r="A19" s="97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4" t="inlineStr">
        <is>
          <t>Son</t>
        </is>
      </c>
      <c r="M19" s="94" t="inlineStr">
        <is>
          <t>Estr</t>
        </is>
      </c>
      <c r="N19" s="94" t="inlineStr">
        <is>
          <t>Fad</t>
        </is>
      </c>
      <c r="O19" s="94" t="inlineStr">
        <is>
          <t>Dor</t>
        </is>
      </c>
      <c r="P19" s="93" t="n"/>
      <c r="Q19" s="95" t="inlineStr">
        <is>
          <t>Média</t>
        </is>
      </c>
      <c r="S19" s="93" t="n"/>
      <c r="T19" s="96" t="inlineStr">
        <is>
          <t>Teste de potência</t>
        </is>
      </c>
      <c r="Y19" s="93" t="n"/>
      <c r="Z19" s="93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  <c r="AP19" s="97" t="n"/>
      <c r="AQ19" s="97" t="n"/>
    </row>
    <row r="20" ht="15" customHeight="1" s="85">
      <c r="A20" s="98" t="inlineStr">
        <is>
          <t>TERÇA-FEIRA</t>
        </is>
      </c>
      <c r="B20" s="93" t="n"/>
      <c r="C20" s="99" t="inlineStr">
        <is>
          <t>DATA</t>
        </is>
      </c>
      <c r="D20" s="100" t="n"/>
      <c r="E20" s="143" t="n"/>
      <c r="F20" s="102" t="n"/>
      <c r="G20" s="102" t="n"/>
      <c r="H20" s="103" t="n"/>
      <c r="I20" s="93" t="n"/>
      <c r="J20" s="93" t="n"/>
      <c r="K20" s="93" t="n"/>
      <c r="L20" s="94" t="n"/>
      <c r="M20" s="94" t="n"/>
      <c r="N20" s="94" t="n"/>
      <c r="O20" s="94" t="n"/>
      <c r="P20" s="93" t="n"/>
      <c r="Q20" s="104">
        <f>IFERROR(AVERAGE(L20:O20),"")</f>
        <v/>
      </c>
      <c r="R20" s="103" t="n"/>
      <c r="S20" s="105">
        <f>Q20</f>
        <v/>
      </c>
      <c r="T20" s="121" t="n"/>
      <c r="U20" s="102" t="n"/>
      <c r="V20" s="102" t="n"/>
      <c r="W20" s="102" t="n"/>
      <c r="X20" s="103" t="n"/>
      <c r="Y20" s="93" t="n"/>
      <c r="Z20" s="93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  <c r="AP20" s="97" t="n"/>
      <c r="AQ20" s="97" t="n"/>
    </row>
    <row r="21" ht="15" customHeight="1" s="85">
      <c r="A21" s="106" t="inlineStr">
        <is>
          <t>Exercícios</t>
        </is>
      </c>
      <c r="B21" s="107" t="inlineStr">
        <is>
          <t>série 1</t>
        </is>
      </c>
      <c r="C21" s="102" t="n"/>
      <c r="D21" s="102" t="n"/>
      <c r="E21" s="103" t="n"/>
      <c r="F21" s="96" t="n"/>
      <c r="G21" s="108" t="inlineStr">
        <is>
          <t>série 2</t>
        </is>
      </c>
      <c r="H21" s="100" t="n"/>
      <c r="I21" s="100" t="n"/>
      <c r="J21" s="109" t="n"/>
      <c r="K21" s="96" t="n"/>
      <c r="L21" s="94" t="inlineStr">
        <is>
          <t>série 3</t>
        </is>
      </c>
      <c r="M21" s="102" t="n"/>
      <c r="N21" s="102" t="n"/>
      <c r="O21" s="103" t="n"/>
      <c r="P21" s="96" t="n"/>
      <c r="Q21" s="94" t="inlineStr">
        <is>
          <t>série 4</t>
        </is>
      </c>
      <c r="R21" s="102" t="n"/>
      <c r="S21" s="102" t="n"/>
      <c r="T21" s="103" t="n"/>
      <c r="U21" s="96" t="n"/>
      <c r="V21" s="94" t="inlineStr">
        <is>
          <t>série 5</t>
        </is>
      </c>
      <c r="W21" s="102" t="n"/>
      <c r="X21" s="102" t="n"/>
      <c r="Y21" s="103" t="n"/>
      <c r="Z21" s="96" t="n"/>
      <c r="AA21" s="110" t="inlineStr">
        <is>
          <t>VEL (2x1)</t>
        </is>
      </c>
      <c r="AB21" s="110" t="inlineStr">
        <is>
          <t>VEL (3x1)</t>
        </is>
      </c>
      <c r="AC21" s="110" t="inlineStr">
        <is>
          <t>VEL (4x1)</t>
        </is>
      </c>
      <c r="AD21" s="111" t="inlineStr">
        <is>
          <t>VEL (5x1)</t>
        </is>
      </c>
      <c r="AE21" s="112" t="n"/>
      <c r="AF21" s="97" t="n"/>
      <c r="AG21" s="113" t="inlineStr">
        <is>
          <t>VTT-SESSÃO</t>
        </is>
      </c>
      <c r="AH21" s="114" t="n"/>
      <c r="AI21" s="97" t="n"/>
      <c r="AJ21" s="113" t="inlineStr">
        <is>
          <t>CARGA DE TREINO (U.A)</t>
        </is>
      </c>
      <c r="AK21" s="115" t="n"/>
      <c r="AL21" s="114" t="n"/>
      <c r="AM21" s="97" t="n"/>
      <c r="AN21" s="97" t="n"/>
      <c r="AO21" s="97" t="n"/>
      <c r="AP21" s="97" t="n"/>
      <c r="AQ21" s="97" t="n"/>
    </row>
    <row r="22" ht="15.75" customHeight="1" s="85">
      <c r="A22" s="116" t="n"/>
      <c r="B22" s="117" t="inlineStr">
        <is>
          <t>nº reps</t>
        </is>
      </c>
      <c r="C22" s="117" t="inlineStr">
        <is>
          <t>peso(kg)</t>
        </is>
      </c>
      <c r="D22" s="117" t="inlineStr">
        <is>
          <t>veloc(s)</t>
        </is>
      </c>
      <c r="E22" s="118" t="inlineStr">
        <is>
          <t>VTT (sér)</t>
        </is>
      </c>
      <c r="F22" s="119" t="n"/>
      <c r="G22" s="117" t="inlineStr">
        <is>
          <t>nº reps</t>
        </is>
      </c>
      <c r="H22" s="117" t="inlineStr">
        <is>
          <t>peso(kg)</t>
        </is>
      </c>
      <c r="I22" s="117" t="inlineStr">
        <is>
          <t>veloc(s)</t>
        </is>
      </c>
      <c r="J22" s="118" t="inlineStr">
        <is>
          <t>VTT (sér)</t>
        </is>
      </c>
      <c r="K22" s="119" t="n"/>
      <c r="L22" s="117" t="inlineStr">
        <is>
          <t>nº reps</t>
        </is>
      </c>
      <c r="M22" s="117" t="inlineStr">
        <is>
          <t>peso(kg)</t>
        </is>
      </c>
      <c r="N22" s="117" t="inlineStr">
        <is>
          <t>veloc(s)</t>
        </is>
      </c>
      <c r="O22" s="118" t="inlineStr">
        <is>
          <t>VTT (sér)</t>
        </is>
      </c>
      <c r="P22" s="119" t="n"/>
      <c r="Q22" s="117" t="inlineStr">
        <is>
          <t>nº reps</t>
        </is>
      </c>
      <c r="R22" s="117" t="inlineStr">
        <is>
          <t>peso(kg)</t>
        </is>
      </c>
      <c r="S22" s="117" t="inlineStr">
        <is>
          <t>veloc(s)</t>
        </is>
      </c>
      <c r="T22" s="118" t="inlineStr">
        <is>
          <t>VTT (sér)</t>
        </is>
      </c>
      <c r="U22" s="119" t="n"/>
      <c r="V22" s="117" t="inlineStr">
        <is>
          <t>nº reps</t>
        </is>
      </c>
      <c r="W22" s="117" t="inlineStr">
        <is>
          <t>peso(kg)</t>
        </is>
      </c>
      <c r="X22" s="117" t="inlineStr">
        <is>
          <t>veloc(s)</t>
        </is>
      </c>
      <c r="Y22" s="118" t="inlineStr">
        <is>
          <t>VTT (sér)</t>
        </is>
      </c>
      <c r="Z22" s="119" t="n"/>
      <c r="AA22" s="120" t="n"/>
      <c r="AB22" s="120" t="n"/>
      <c r="AC22" s="120" t="n"/>
      <c r="AD22" s="89" t="n"/>
      <c r="AE22" s="116" t="n"/>
      <c r="AF22" s="97" t="n"/>
      <c r="AG22" s="98">
        <f>SUM(E36+J36+O36+T36+Y36)</f>
        <v/>
      </c>
      <c r="AH22" s="103" t="n"/>
      <c r="AI22" s="97" t="n"/>
      <c r="AJ22" s="98">
        <f>AE23*AG25</f>
        <v/>
      </c>
      <c r="AK22" s="102" t="n"/>
      <c r="AL22" s="103" t="n"/>
      <c r="AM22" s="97" t="n"/>
      <c r="AN22" s="97" t="n"/>
      <c r="AO22" s="97" t="n"/>
      <c r="AP22" s="97" t="n"/>
      <c r="AQ22" s="97" t="n"/>
    </row>
    <row r="23" ht="21" customHeight="1" s="85">
      <c r="A23" s="121" t="n"/>
      <c r="B23" s="121" t="n"/>
      <c r="C23" s="121" t="n"/>
      <c r="D23" s="121" t="n"/>
      <c r="E23" s="121">
        <f>B23*C23</f>
        <v/>
      </c>
      <c r="F23" s="93" t="n"/>
      <c r="G23" s="121" t="n"/>
      <c r="H23" s="121" t="n"/>
      <c r="I23" s="121" t="n"/>
      <c r="J23" s="121">
        <f>G23*H23</f>
        <v/>
      </c>
      <c r="K23" s="93" t="n"/>
      <c r="L23" s="121" t="n"/>
      <c r="M23" s="121" t="n"/>
      <c r="N23" s="121" t="n"/>
      <c r="O23" s="121">
        <f>L23*M23</f>
        <v/>
      </c>
      <c r="P23" s="93" t="n"/>
      <c r="Q23" s="121" t="n"/>
      <c r="R23" s="121" t="n"/>
      <c r="S23" s="121" t="n"/>
      <c r="T23" s="121">
        <f>Q23*R23</f>
        <v/>
      </c>
      <c r="U23" s="93" t="n"/>
      <c r="V23" s="121" t="n"/>
      <c r="W23" s="121" t="n"/>
      <c r="X23" s="121" t="n"/>
      <c r="Y23" s="121">
        <f>V23*W23</f>
        <v/>
      </c>
      <c r="Z23" s="93" t="n"/>
      <c r="AA23" s="122">
        <f>IFERROR(((I23-D23)/D23)*100,"")</f>
        <v/>
      </c>
      <c r="AB23" s="122">
        <f>IFERROR(((N23-D23)/D23)*100,"")</f>
        <v/>
      </c>
      <c r="AC23" s="122">
        <f>IFERROR(((S23-D23)/D23)*100,"")</f>
        <v/>
      </c>
      <c r="AD23" s="122">
        <f>IFERROR(((X23-D23)/D23)*100,"")</f>
        <v/>
      </c>
      <c r="AE23" s="123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</row>
    <row r="24" ht="21" customHeight="1" s="85">
      <c r="A24" s="124" t="inlineStr">
        <is>
          <t>Supino Inclinado Smith 30°</t>
        </is>
      </c>
      <c r="B24" s="124" t="n"/>
      <c r="C24" s="124" t="n"/>
      <c r="D24" s="124" t="n"/>
      <c r="E24" s="124">
        <f>B24*C24</f>
        <v/>
      </c>
      <c r="F24" s="93" t="n"/>
      <c r="G24" s="124" t="n"/>
      <c r="H24" s="124" t="n"/>
      <c r="I24" s="124" t="n"/>
      <c r="J24" s="124">
        <f>G24*H24</f>
        <v/>
      </c>
      <c r="K24" s="93" t="n"/>
      <c r="L24" s="124" t="n"/>
      <c r="M24" s="124" t="n"/>
      <c r="N24" s="124" t="n"/>
      <c r="O24" s="124">
        <f>L24*M24</f>
        <v/>
      </c>
      <c r="P24" s="93" t="n"/>
      <c r="Q24" s="124" t="n"/>
      <c r="R24" s="124" t="n"/>
      <c r="S24" s="124" t="n"/>
      <c r="T24" s="124">
        <f>Q24*R24</f>
        <v/>
      </c>
      <c r="U24" s="93" t="n"/>
      <c r="V24" s="124" t="n"/>
      <c r="W24" s="124" t="n"/>
      <c r="X24" s="124" t="n"/>
      <c r="Y24" s="124">
        <f>V24*W24</f>
        <v/>
      </c>
      <c r="Z24" s="93" t="n"/>
      <c r="AA24" s="125">
        <f>IFERROR(((I24-D24)/D24)*100,"")</f>
        <v/>
      </c>
      <c r="AB24" s="125">
        <f>IFERROR(((N24-D24)/D24)*100,"")</f>
        <v/>
      </c>
      <c r="AC24" s="125">
        <f>IFERROR(((S24-D24)/D24)*100,"")</f>
        <v/>
      </c>
      <c r="AD24" s="125">
        <f>IFERROR(((X24-D24)/D24)*100,"")</f>
        <v/>
      </c>
      <c r="AE24" s="126" t="n"/>
      <c r="AF24" s="97" t="n"/>
      <c r="AG24" s="113" t="inlineStr">
        <is>
          <t>Tempo total sessão (min)</t>
        </is>
      </c>
      <c r="AH24" s="115" t="n"/>
      <c r="AI24" s="115" t="n"/>
      <c r="AJ24" s="115" t="n"/>
      <c r="AK24" s="115" t="n"/>
      <c r="AL24" s="114" t="n"/>
      <c r="AM24" s="97" t="n"/>
      <c r="AN24" s="97" t="n"/>
      <c r="AO24" s="97" t="n"/>
      <c r="AP24" s="97" t="n"/>
      <c r="AQ24" s="97" t="n"/>
    </row>
    <row r="25" ht="21" customHeight="1" s="85">
      <c r="A25" s="121" t="inlineStr">
        <is>
          <t>Fly Inclinado Banco 30°</t>
        </is>
      </c>
      <c r="B25" s="121" t="n"/>
      <c r="C25" s="121" t="n"/>
      <c r="D25" s="121" t="n"/>
      <c r="E25" s="121">
        <f>B25*C25</f>
        <v/>
      </c>
      <c r="F25" s="93" t="n"/>
      <c r="G25" s="121" t="n"/>
      <c r="H25" s="121" t="n"/>
      <c r="I25" s="121" t="n"/>
      <c r="J25" s="121">
        <f>G25*H25</f>
        <v/>
      </c>
      <c r="K25" s="93" t="n"/>
      <c r="L25" s="121" t="n"/>
      <c r="M25" s="121" t="n"/>
      <c r="N25" s="121" t="n"/>
      <c r="O25" s="121">
        <f>L25*M25</f>
        <v/>
      </c>
      <c r="P25" s="93" t="n"/>
      <c r="Q25" s="121" t="n"/>
      <c r="R25" s="121" t="n"/>
      <c r="S25" s="121" t="n"/>
      <c r="T25" s="121">
        <f>Q25*R25</f>
        <v/>
      </c>
      <c r="U25" s="93" t="n"/>
      <c r="V25" s="121" t="n"/>
      <c r="W25" s="121" t="n"/>
      <c r="X25" s="121" t="n"/>
      <c r="Y25" s="121">
        <f>V25*W25</f>
        <v/>
      </c>
      <c r="Z25" s="93" t="n"/>
      <c r="AA25" s="122">
        <f>IFERROR(((I25-D25)/D25)*100,"")</f>
        <v/>
      </c>
      <c r="AB25" s="122">
        <f>IFERROR(((N25-D25)/D25)*100,"")</f>
        <v/>
      </c>
      <c r="AC25" s="122">
        <f>IFERROR(((S25-D25)/D25)*100,"")</f>
        <v/>
      </c>
      <c r="AD25" s="122">
        <f>IFERROR(((X25-D25)/D25)*100,"")</f>
        <v/>
      </c>
      <c r="AE25" s="126" t="n"/>
      <c r="AF25" s="97" t="n"/>
      <c r="AG25" s="127" t="n"/>
      <c r="AH25" s="128" t="n"/>
      <c r="AI25" s="128" t="n"/>
      <c r="AJ25" s="128" t="n"/>
      <c r="AK25" s="128" t="n"/>
      <c r="AL25" s="129" t="n"/>
      <c r="AM25" s="97" t="n"/>
      <c r="AN25" s="97" t="n"/>
      <c r="AO25" s="97" t="n"/>
      <c r="AP25" s="97" t="n"/>
      <c r="AQ25" s="97" t="n"/>
    </row>
    <row r="26" ht="21" customHeight="1" s="85">
      <c r="A26" s="124" t="inlineStr">
        <is>
          <t>Fly Reto</t>
        </is>
      </c>
      <c r="B26" s="124" t="n"/>
      <c r="C26" s="124" t="n"/>
      <c r="D26" s="124" t="n"/>
      <c r="E26" s="124">
        <f>B26*C26</f>
        <v/>
      </c>
      <c r="F26" s="93" t="n"/>
      <c r="G26" s="124" t="n"/>
      <c r="H26" s="124" t="n"/>
      <c r="I26" s="124" t="n"/>
      <c r="J26" s="124">
        <f>G26*H26</f>
        <v/>
      </c>
      <c r="K26" s="93" t="n"/>
      <c r="L26" s="124" t="n"/>
      <c r="M26" s="124" t="n"/>
      <c r="N26" s="124" t="n"/>
      <c r="O26" s="124">
        <f>L26*M26</f>
        <v/>
      </c>
      <c r="P26" s="93" t="n"/>
      <c r="Q26" s="124" t="n"/>
      <c r="R26" s="124" t="n"/>
      <c r="S26" s="124" t="n"/>
      <c r="T26" s="124">
        <f>Q26*R26</f>
        <v/>
      </c>
      <c r="U26" s="93" t="n"/>
      <c r="V26" s="124" t="n"/>
      <c r="W26" s="124" t="n"/>
      <c r="X26" s="124" t="n"/>
      <c r="Y26" s="124">
        <f>V26*W26</f>
        <v/>
      </c>
      <c r="Z26" s="93" t="n"/>
      <c r="AA26" s="125">
        <f>IFERROR(((I26-D26)/D26)*100,"")</f>
        <v/>
      </c>
      <c r="AB26" s="125">
        <f>IFERROR(((N26-D26)/D26)*100,"")</f>
        <v/>
      </c>
      <c r="AC26" s="125">
        <f>IFERROR(((S26-D26)/D26)*100,"")</f>
        <v/>
      </c>
      <c r="AD26" s="125">
        <f>IFERROR(((X26-D26)/D26)*100,"")</f>
        <v/>
      </c>
      <c r="AE26" s="126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</row>
    <row r="27" ht="21" customHeight="1" s="85">
      <c r="A27" s="121" t="inlineStr">
        <is>
          <t>Cross-over</t>
        </is>
      </c>
      <c r="B27" s="121" t="n"/>
      <c r="C27" s="121" t="n"/>
      <c r="D27" s="121" t="n"/>
      <c r="E27" s="121">
        <f>B27*C27</f>
        <v/>
      </c>
      <c r="F27" s="93" t="n"/>
      <c r="G27" s="121" t="n"/>
      <c r="H27" s="121" t="n"/>
      <c r="I27" s="121" t="n"/>
      <c r="J27" s="121">
        <f>G27*H27</f>
        <v/>
      </c>
      <c r="K27" s="93" t="n"/>
      <c r="L27" s="121" t="n"/>
      <c r="M27" s="121" t="n"/>
      <c r="N27" s="121" t="n"/>
      <c r="O27" s="121">
        <f>L27*M27</f>
        <v/>
      </c>
      <c r="P27" s="93" t="n"/>
      <c r="Q27" s="121" t="n"/>
      <c r="R27" s="121" t="n"/>
      <c r="S27" s="121" t="n"/>
      <c r="T27" s="121">
        <f>Q27*R27</f>
        <v/>
      </c>
      <c r="U27" s="93" t="n"/>
      <c r="V27" s="121" t="n"/>
      <c r="W27" s="121" t="n"/>
      <c r="X27" s="121" t="n"/>
      <c r="Y27" s="121">
        <f>V27*W27</f>
        <v/>
      </c>
      <c r="Z27" s="93" t="n"/>
      <c r="AA27" s="122">
        <f>IFERROR(((I27-D27)/D27)*100,"")</f>
        <v/>
      </c>
      <c r="AB27" s="122">
        <f>IFERROR(((N27-D27)/D27)*100,"")</f>
        <v/>
      </c>
      <c r="AC27" s="122">
        <f>IFERROR(((S27-D27)/D27)*100,"")</f>
        <v/>
      </c>
      <c r="AD27" s="122">
        <f>IFERROR(((X27-D27)/D27)*100,"")</f>
        <v/>
      </c>
      <c r="AE27" s="126" t="n"/>
      <c r="AF27" s="97" t="n"/>
      <c r="AG27" s="92" t="n"/>
      <c r="AM27" s="97" t="n"/>
      <c r="AN27" s="97" t="n"/>
      <c r="AO27" s="97" t="n"/>
      <c r="AP27" s="97" t="n"/>
      <c r="AQ27" s="97" t="n"/>
    </row>
    <row r="28" ht="21" customHeight="1" s="85">
      <c r="A28" s="124" t="inlineStr">
        <is>
          <t>Crucifixo em Máquina</t>
        </is>
      </c>
      <c r="B28" s="124" t="n"/>
      <c r="C28" s="124" t="n"/>
      <c r="D28" s="124" t="n"/>
      <c r="E28" s="124">
        <f>B28*C28</f>
        <v/>
      </c>
      <c r="F28" s="93" t="n"/>
      <c r="G28" s="124" t="n"/>
      <c r="H28" s="124" t="n"/>
      <c r="I28" s="124" t="n"/>
      <c r="J28" s="124">
        <f>G28*H28</f>
        <v/>
      </c>
      <c r="K28" s="93" t="n"/>
      <c r="L28" s="124" t="n"/>
      <c r="M28" s="124" t="n"/>
      <c r="N28" s="124" t="n"/>
      <c r="O28" s="124">
        <f>L28*M28</f>
        <v/>
      </c>
      <c r="P28" s="93" t="n"/>
      <c r="Q28" s="124" t="n"/>
      <c r="R28" s="124" t="n"/>
      <c r="S28" s="124" t="n"/>
      <c r="T28" s="124">
        <f>Q28*R28</f>
        <v/>
      </c>
      <c r="U28" s="93" t="n"/>
      <c r="V28" s="124" t="n"/>
      <c r="W28" s="124" t="n"/>
      <c r="X28" s="124" t="n"/>
      <c r="Y28" s="124">
        <f>V28*W28</f>
        <v/>
      </c>
      <c r="Z28" s="93" t="n"/>
      <c r="AA28" s="125">
        <f>IFERROR(((I28-D28)/D28)*100,"")</f>
        <v/>
      </c>
      <c r="AB28" s="125">
        <f>IFERROR(((N28-D28)/D28)*100,"")</f>
        <v/>
      </c>
      <c r="AC28" s="125">
        <f>IFERROR(((S28-D28)/D28)*100,"")</f>
        <v/>
      </c>
      <c r="AD28" s="125">
        <f>IFERROR(((X28-D28)/D28)*100,"")</f>
        <v/>
      </c>
      <c r="AE28" s="126" t="n"/>
      <c r="AF28" s="97" t="n"/>
      <c r="AG28" s="92" t="n"/>
      <c r="AM28" s="97" t="n"/>
      <c r="AN28" s="97" t="n"/>
      <c r="AO28" s="97" t="n"/>
      <c r="AP28" s="97" t="n"/>
      <c r="AQ28" s="97" t="n"/>
    </row>
    <row r="29" ht="21" customHeight="1" s="85">
      <c r="A29" s="121" t="inlineStr">
        <is>
          <t>Elevação Frontal Corda</t>
        </is>
      </c>
      <c r="B29" s="121" t="n"/>
      <c r="C29" s="121" t="n"/>
      <c r="D29" s="121" t="n"/>
      <c r="E29" s="121">
        <f>B29*C29</f>
        <v/>
      </c>
      <c r="F29" s="93" t="n"/>
      <c r="G29" s="121" t="n"/>
      <c r="H29" s="121" t="n"/>
      <c r="I29" s="121" t="n"/>
      <c r="J29" s="121">
        <f>G29*H29</f>
        <v/>
      </c>
      <c r="K29" s="93" t="n"/>
      <c r="L29" s="121" t="n"/>
      <c r="M29" s="121" t="n"/>
      <c r="N29" s="121" t="n"/>
      <c r="O29" s="121">
        <f>L29*M29</f>
        <v/>
      </c>
      <c r="P29" s="93" t="n"/>
      <c r="Q29" s="121" t="n"/>
      <c r="R29" s="121" t="n"/>
      <c r="S29" s="121" t="n"/>
      <c r="T29" s="121">
        <f>Q29*R29</f>
        <v/>
      </c>
      <c r="U29" s="93" t="n"/>
      <c r="V29" s="121" t="n"/>
      <c r="W29" s="121" t="n"/>
      <c r="X29" s="121" t="n"/>
      <c r="Y29" s="121">
        <f>V29*W29</f>
        <v/>
      </c>
      <c r="Z29" s="93" t="n"/>
      <c r="AA29" s="122">
        <f>IFERROR(((I29-D29)/D29)*100,"")</f>
        <v/>
      </c>
      <c r="AB29" s="122">
        <f>IFERROR(((N29-D29)/D29)*100,"")</f>
        <v/>
      </c>
      <c r="AC29" s="122">
        <f>IFERROR(((S29-D29)/D29)*100,"")</f>
        <v/>
      </c>
      <c r="AD29" s="122">
        <f>IFERROR(((X29-D29)/D29)*100,"")</f>
        <v/>
      </c>
      <c r="AE29" s="126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</row>
    <row r="30" ht="21" customHeight="1" s="85">
      <c r="A30" s="124" t="inlineStr">
        <is>
          <t>Flexão Quadril/Coluna Paralelas</t>
        </is>
      </c>
      <c r="B30" s="124" t="n"/>
      <c r="C30" s="124" t="n"/>
      <c r="D30" s="124" t="n"/>
      <c r="E30" s="124">
        <f>B30*C30</f>
        <v/>
      </c>
      <c r="F30" s="93" t="n"/>
      <c r="G30" s="124" t="n"/>
      <c r="H30" s="124" t="n"/>
      <c r="I30" s="124" t="n"/>
      <c r="J30" s="124">
        <f>G30*H30</f>
        <v/>
      </c>
      <c r="K30" s="93" t="n"/>
      <c r="L30" s="124" t="n"/>
      <c r="M30" s="124" t="n"/>
      <c r="N30" s="124" t="n"/>
      <c r="O30" s="124">
        <f>L30*M30</f>
        <v/>
      </c>
      <c r="P30" s="93" t="n"/>
      <c r="Q30" s="124" t="n"/>
      <c r="R30" s="124" t="n"/>
      <c r="S30" s="124" t="n"/>
      <c r="T30" s="124">
        <f>Q30*R30</f>
        <v/>
      </c>
      <c r="U30" s="93" t="n"/>
      <c r="V30" s="124" t="n"/>
      <c r="W30" s="124" t="n"/>
      <c r="X30" s="124" t="n"/>
      <c r="Y30" s="124">
        <f>V30*W30</f>
        <v/>
      </c>
      <c r="Z30" s="93" t="n"/>
      <c r="AA30" s="125">
        <f>IFERROR(((I30-D30)/D30)*100,"")</f>
        <v/>
      </c>
      <c r="AB30" s="125">
        <f>IFERROR(((N30-D30)/D30)*100,"")</f>
        <v/>
      </c>
      <c r="AC30" s="125">
        <f>IFERROR(((S30-D30)/D30)*100,"")</f>
        <v/>
      </c>
      <c r="AD30" s="125">
        <f>IFERROR(((X30-D30)/D30)*100,"")</f>
        <v/>
      </c>
      <c r="AE30" s="126" t="n"/>
      <c r="AF30" s="97" t="n"/>
      <c r="AG30" s="96" t="n"/>
      <c r="AM30" s="97" t="n"/>
      <c r="AN30" s="97" t="n"/>
      <c r="AO30" s="97" t="n"/>
      <c r="AP30" s="97" t="n"/>
      <c r="AQ30" s="97" t="n"/>
    </row>
    <row r="31" ht="21" customHeight="1" s="85">
      <c r="A31" s="121" t="inlineStr">
        <is>
          <t>Flexão de Coluna Máquina</t>
        </is>
      </c>
      <c r="B31" s="121" t="n"/>
      <c r="C31" s="121" t="n"/>
      <c r="D31" s="121" t="n"/>
      <c r="E31" s="121">
        <f>B31*C31</f>
        <v/>
      </c>
      <c r="F31" s="93" t="n"/>
      <c r="G31" s="121" t="n"/>
      <c r="H31" s="121" t="n"/>
      <c r="I31" s="121" t="n"/>
      <c r="J31" s="121">
        <f>G31*H31</f>
        <v/>
      </c>
      <c r="K31" s="93" t="n"/>
      <c r="L31" s="121" t="n"/>
      <c r="M31" s="121" t="n"/>
      <c r="N31" s="121" t="n"/>
      <c r="O31" s="121">
        <f>L31*M31</f>
        <v/>
      </c>
      <c r="P31" s="93" t="n"/>
      <c r="Q31" s="121" t="n"/>
      <c r="R31" s="121" t="n"/>
      <c r="S31" s="121" t="n"/>
      <c r="T31" s="121">
        <f>Q31*R31</f>
        <v/>
      </c>
      <c r="U31" s="93" t="n"/>
      <c r="V31" s="121" t="n"/>
      <c r="W31" s="121" t="n"/>
      <c r="X31" s="121" t="n"/>
      <c r="Y31" s="121">
        <f>V31*W31</f>
        <v/>
      </c>
      <c r="Z31" s="93" t="n"/>
      <c r="AA31" s="122">
        <f>IFERROR(((I31-D31)/D31)*100,"")</f>
        <v/>
      </c>
      <c r="AB31" s="122">
        <f>IFERROR(((N31-D31)/D31)*100,"")</f>
        <v/>
      </c>
      <c r="AC31" s="122">
        <f>IFERROR(((S31-D31)/D31)*100,"")</f>
        <v/>
      </c>
      <c r="AD31" s="122">
        <f>IFERROR(((X31-D31)/D31)*100,"")</f>
        <v/>
      </c>
      <c r="AE31" s="126" t="n"/>
      <c r="AF31" s="97" t="n"/>
      <c r="AG31" s="93" t="n"/>
      <c r="AM31" s="97" t="n"/>
      <c r="AN31" s="97" t="n"/>
      <c r="AO31" s="97" t="n"/>
      <c r="AP31" s="97" t="n"/>
      <c r="AQ31" s="97" t="n"/>
    </row>
    <row r="32" ht="21" customHeight="1" s="85">
      <c r="A32" s="124" t="n"/>
      <c r="B32" s="124" t="n"/>
      <c r="C32" s="124" t="n"/>
      <c r="D32" s="124" t="n"/>
      <c r="E32" s="124">
        <f>B32*C32</f>
        <v/>
      </c>
      <c r="F32" s="93" t="n"/>
      <c r="G32" s="124" t="n"/>
      <c r="H32" s="124" t="n"/>
      <c r="I32" s="124" t="n"/>
      <c r="J32" s="124">
        <f>G32*H32</f>
        <v/>
      </c>
      <c r="K32" s="93" t="n"/>
      <c r="L32" s="124" t="n"/>
      <c r="M32" s="124" t="n"/>
      <c r="N32" s="124" t="n"/>
      <c r="O32" s="124">
        <f>L32*M32</f>
        <v/>
      </c>
      <c r="P32" s="93" t="n"/>
      <c r="Q32" s="124" t="n"/>
      <c r="R32" s="124" t="n"/>
      <c r="S32" s="124" t="n"/>
      <c r="T32" s="124">
        <f>Q32*R32</f>
        <v/>
      </c>
      <c r="U32" s="93" t="n"/>
      <c r="V32" s="124" t="n"/>
      <c r="W32" s="124" t="n"/>
      <c r="X32" s="124" t="n"/>
      <c r="Y32" s="124">
        <f>V32*W32</f>
        <v/>
      </c>
      <c r="Z32" s="93" t="n"/>
      <c r="AA32" s="125">
        <f>IFERROR(((I32-D32)/D32)*100,"")</f>
        <v/>
      </c>
      <c r="AB32" s="125">
        <f>IFERROR(((N32-D32)/D32)*100,"")</f>
        <v/>
      </c>
      <c r="AC32" s="125">
        <f>IFERROR(((S32-D32)/D32)*100,"")</f>
        <v/>
      </c>
      <c r="AD32" s="125">
        <f>IFERROR(((X32-D32)/D32)*100,"")</f>
        <v/>
      </c>
      <c r="AE32" s="126" t="n"/>
      <c r="AF32" s="97" t="n"/>
      <c r="AG32" s="145" t="n"/>
      <c r="AM32" s="97" t="n"/>
      <c r="AN32" s="97" t="n"/>
      <c r="AO32" s="97" t="n"/>
      <c r="AP32" s="97" t="n"/>
      <c r="AQ32" s="97" t="n"/>
    </row>
    <row r="33" ht="21" customHeight="1" s="85">
      <c r="A33" s="121" t="n"/>
      <c r="B33" s="121" t="n"/>
      <c r="C33" s="121" t="n"/>
      <c r="D33" s="121" t="n"/>
      <c r="E33" s="121">
        <f>B33*C33</f>
        <v/>
      </c>
      <c r="F33" s="93" t="n"/>
      <c r="G33" s="121" t="n"/>
      <c r="H33" s="121" t="n"/>
      <c r="I33" s="121" t="n"/>
      <c r="J33" s="121">
        <f>G33*H33</f>
        <v/>
      </c>
      <c r="K33" s="93" t="n"/>
      <c r="L33" s="121" t="n"/>
      <c r="M33" s="121" t="n"/>
      <c r="N33" s="121" t="n"/>
      <c r="O33" s="121">
        <f>L33*M33</f>
        <v/>
      </c>
      <c r="P33" s="93" t="n"/>
      <c r="Q33" s="121" t="n"/>
      <c r="R33" s="121" t="n"/>
      <c r="S33" s="121" t="n"/>
      <c r="T33" s="121">
        <f>Q33*R33</f>
        <v/>
      </c>
      <c r="U33" s="93" t="n"/>
      <c r="V33" s="121" t="n"/>
      <c r="W33" s="121" t="n"/>
      <c r="X33" s="121" t="n"/>
      <c r="Y33" s="121">
        <f>V33*W33</f>
        <v/>
      </c>
      <c r="Z33" s="93" t="n"/>
      <c r="AA33" s="122">
        <f>IFERROR(((I33-D33)/D33)*100,"")</f>
        <v/>
      </c>
      <c r="AB33" s="122">
        <f>IFERROR(((N33-D33)/D33)*100,"")</f>
        <v/>
      </c>
      <c r="AC33" s="122">
        <f>IFERROR(((S33-D33)/D33)*100,"")</f>
        <v/>
      </c>
      <c r="AD33" s="122">
        <f>IFERROR(((X33-D33)/D33)*100,"")</f>
        <v/>
      </c>
      <c r="AE33" s="126" t="n"/>
      <c r="AF33" s="97" t="n"/>
      <c r="AG33" s="134" t="n"/>
      <c r="AH33" s="134" t="n"/>
      <c r="AJ33" s="134" t="n"/>
      <c r="AK33" s="134" t="n"/>
      <c r="AL33" s="134" t="n"/>
      <c r="AM33" s="97" t="n"/>
      <c r="AN33" s="97" t="n"/>
      <c r="AO33" s="97" t="n"/>
      <c r="AP33" s="97" t="n"/>
      <c r="AQ33" s="97" t="n"/>
    </row>
    <row r="34" ht="21" customHeight="1" s="85">
      <c r="A34" s="124" t="n"/>
      <c r="B34" s="124" t="n"/>
      <c r="C34" s="124" t="n"/>
      <c r="D34" s="124" t="n"/>
      <c r="E34" s="124">
        <f>B34*C34</f>
        <v/>
      </c>
      <c r="F34" s="93" t="n"/>
      <c r="G34" s="124" t="n"/>
      <c r="H34" s="124" t="n"/>
      <c r="I34" s="124" t="n"/>
      <c r="J34" s="124">
        <f>G34*H34</f>
        <v/>
      </c>
      <c r="K34" s="93" t="n"/>
      <c r="L34" s="124" t="n"/>
      <c r="M34" s="124" t="n"/>
      <c r="N34" s="124" t="n"/>
      <c r="O34" s="124">
        <f>L34*M34</f>
        <v/>
      </c>
      <c r="P34" s="93" t="n"/>
      <c r="Q34" s="124" t="n"/>
      <c r="R34" s="124" t="n"/>
      <c r="S34" s="124" t="n"/>
      <c r="T34" s="124">
        <f>Q34*R34</f>
        <v/>
      </c>
      <c r="U34" s="93" t="n"/>
      <c r="V34" s="124" t="n"/>
      <c r="W34" s="124" t="n"/>
      <c r="X34" s="124" t="n"/>
      <c r="Y34" s="124">
        <f>V34*W34</f>
        <v/>
      </c>
      <c r="Z34" s="93" t="n"/>
      <c r="AA34" s="125">
        <f>IFERROR(((I34-D34)/D34)*100,"")</f>
        <v/>
      </c>
      <c r="AB34" s="125">
        <f>IFERROR(((N34-D34)/D34)*100,"")</f>
        <v/>
      </c>
      <c r="AC34" s="125">
        <f>IFERROR(((S34-D34)/D34)*100,"")</f>
        <v/>
      </c>
      <c r="AD34" s="125">
        <f>IFERROR(((X34-D34)/D34)*100,"")</f>
        <v/>
      </c>
      <c r="AE34" s="137" t="n"/>
      <c r="AF34" s="97" t="n"/>
      <c r="AG34" s="92" t="n"/>
      <c r="AH34" s="92" t="n"/>
      <c r="AJ34" s="92" t="n"/>
      <c r="AK34" s="92" t="n"/>
      <c r="AL34" s="92" t="n"/>
      <c r="AM34" s="138">
        <f>AG34*AG33</f>
        <v/>
      </c>
      <c r="AN34" s="138">
        <f>AH34*AH33</f>
        <v/>
      </c>
      <c r="AO34" s="138">
        <f>AJ34*AJ33</f>
        <v/>
      </c>
      <c r="AP34" s="138">
        <f>AK34*AK33</f>
        <v/>
      </c>
      <c r="AQ34" s="138">
        <f>AL34*AL33</f>
        <v/>
      </c>
    </row>
    <row r="35" ht="15.75" customHeight="1" s="85">
      <c r="A35" s="93" t="n"/>
      <c r="B35" s="93" t="n"/>
      <c r="C35" s="93" t="n"/>
      <c r="D35" s="93" t="n"/>
      <c r="E35" s="139" t="inlineStr">
        <is>
          <t>PR</t>
        </is>
      </c>
      <c r="F35" s="140" t="n"/>
      <c r="G35" s="121" t="n"/>
      <c r="H35" s="93" t="n"/>
      <c r="I35" s="93" t="n"/>
      <c r="J35" s="139" t="inlineStr">
        <is>
          <t>PR</t>
        </is>
      </c>
      <c r="K35" s="140" t="n"/>
      <c r="L35" s="121" t="n"/>
      <c r="M35" s="93" t="n"/>
      <c r="N35" s="93" t="n"/>
      <c r="O35" s="139" t="inlineStr">
        <is>
          <t>PR</t>
        </is>
      </c>
      <c r="P35" s="140" t="n"/>
      <c r="Q35" s="121" t="n"/>
      <c r="R35" s="93" t="n"/>
      <c r="S35" s="93" t="n"/>
      <c r="T35" s="139" t="inlineStr">
        <is>
          <t>PR</t>
        </is>
      </c>
      <c r="U35" s="140" t="n"/>
      <c r="V35" s="121" t="n"/>
      <c r="W35" s="93" t="n"/>
      <c r="X35" s="93" t="n"/>
      <c r="Y35" s="93" t="n"/>
      <c r="Z35" s="93" t="n"/>
      <c r="AA35" s="97" t="n"/>
      <c r="AB35" s="97" t="n"/>
      <c r="AC35" s="92" t="inlineStr">
        <is>
          <t>PR-M</t>
        </is>
      </c>
      <c r="AD35" s="97">
        <f>IFERROR(AVERAGE(G35,L35,Q35,V35),"")</f>
        <v/>
      </c>
      <c r="AE35" s="141" t="n"/>
      <c r="AF35" s="97" t="n"/>
      <c r="AG35" s="92" t="n"/>
      <c r="AH35" s="92" t="n"/>
      <c r="AI35" s="92" t="n"/>
      <c r="AJ35" s="92" t="n"/>
      <c r="AK35" s="92" t="n"/>
      <c r="AL35" s="92" t="n"/>
      <c r="AM35" s="138" t="n"/>
      <c r="AN35" s="138" t="n"/>
      <c r="AO35" s="138" t="n"/>
      <c r="AP35" s="138" t="n"/>
      <c r="AQ35" s="138" t="n"/>
    </row>
    <row r="36" ht="15.75" customHeight="1" s="85">
      <c r="A36" s="97" t="n"/>
      <c r="B36" s="93" t="n"/>
      <c r="C36" s="93" t="n"/>
      <c r="D36" s="93" t="n"/>
      <c r="E36" s="142">
        <f>SUM(E23:E34)</f>
        <v/>
      </c>
      <c r="F36" s="142" t="n"/>
      <c r="G36" s="142" t="n"/>
      <c r="H36" s="142" t="n"/>
      <c r="I36" s="142" t="n"/>
      <c r="J36" s="142">
        <f>SUM(J23:J34)</f>
        <v/>
      </c>
      <c r="K36" s="142" t="n"/>
      <c r="L36" s="142" t="n"/>
      <c r="M36" s="142" t="n"/>
      <c r="N36" s="142" t="n"/>
      <c r="O36" s="142">
        <f>SUM(O23:O34)</f>
        <v/>
      </c>
      <c r="P36" s="142" t="n"/>
      <c r="Q36" s="142" t="n"/>
      <c r="R36" s="142" t="n"/>
      <c r="S36" s="142" t="n"/>
      <c r="T36" s="142">
        <f>SUM(T23:T34)</f>
        <v/>
      </c>
      <c r="U36" s="142" t="n"/>
      <c r="V36" s="142" t="n"/>
      <c r="W36" s="142" t="n"/>
      <c r="X36" s="142" t="n"/>
      <c r="Y36" s="142">
        <f>SUM(Y23:Y34)</f>
        <v/>
      </c>
      <c r="Z36" s="142" t="n"/>
      <c r="AA36" s="138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</row>
    <row r="37" ht="15" customHeight="1" s="85">
      <c r="A37" s="97" t="n"/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inlineStr">
        <is>
          <t>Son</t>
        </is>
      </c>
      <c r="M37" s="94" t="inlineStr">
        <is>
          <t>Estr</t>
        </is>
      </c>
      <c r="N37" s="94" t="inlineStr">
        <is>
          <t>Fad</t>
        </is>
      </c>
      <c r="O37" s="94" t="inlineStr">
        <is>
          <t>Dor</t>
        </is>
      </c>
      <c r="P37" s="93" t="n"/>
      <c r="Q37" s="95" t="inlineStr">
        <is>
          <t>Média</t>
        </is>
      </c>
      <c r="S37" s="93" t="n"/>
      <c r="T37" s="96" t="inlineStr">
        <is>
          <t>Teste de potência</t>
        </is>
      </c>
      <c r="Y37" s="93" t="n"/>
      <c r="Z37" s="93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</row>
    <row r="38" ht="15.75" customHeight="1" s="85">
      <c r="A38" s="98" t="inlineStr">
        <is>
          <t>QUARTA-FEIRA</t>
        </is>
      </c>
      <c r="B38" s="93" t="n"/>
      <c r="C38" s="99" t="inlineStr">
        <is>
          <t>DATA</t>
        </is>
      </c>
      <c r="D38" s="100" t="n"/>
      <c r="E38" s="143" t="n"/>
      <c r="F38" s="102" t="n"/>
      <c r="G38" s="102" t="n"/>
      <c r="H38" s="103" t="n"/>
      <c r="I38" s="93" t="n"/>
      <c r="J38" s="93" t="n"/>
      <c r="K38" s="93" t="n"/>
      <c r="L38" s="94" t="n"/>
      <c r="M38" s="94" t="n"/>
      <c r="N38" s="94" t="n"/>
      <c r="O38" s="94" t="n"/>
      <c r="P38" s="93" t="n"/>
      <c r="Q38" s="104">
        <f>IFERROR(AVERAGE(L38:O38),"")</f>
        <v/>
      </c>
      <c r="R38" s="103" t="n"/>
      <c r="S38" s="105">
        <f>Q38</f>
        <v/>
      </c>
      <c r="T38" s="121" t="n"/>
      <c r="U38" s="102" t="n"/>
      <c r="V38" s="102" t="n"/>
      <c r="W38" s="102" t="n"/>
      <c r="X38" s="102" t="n"/>
      <c r="Y38" s="103" t="n"/>
      <c r="Z38" s="93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</row>
    <row r="39" ht="15" customHeight="1" s="85">
      <c r="A39" s="106" t="inlineStr">
        <is>
          <t>Exercícios</t>
        </is>
      </c>
      <c r="B39" s="107" t="inlineStr">
        <is>
          <t>série 1</t>
        </is>
      </c>
      <c r="C39" s="102" t="n"/>
      <c r="D39" s="102" t="n"/>
      <c r="E39" s="103" t="n"/>
      <c r="F39" s="96" t="n"/>
      <c r="G39" s="108" t="inlineStr">
        <is>
          <t>série 2</t>
        </is>
      </c>
      <c r="H39" s="100" t="n"/>
      <c r="I39" s="100" t="n"/>
      <c r="J39" s="109" t="n"/>
      <c r="K39" s="96" t="n"/>
      <c r="L39" s="94" t="inlineStr">
        <is>
          <t>série 3</t>
        </is>
      </c>
      <c r="M39" s="102" t="n"/>
      <c r="N39" s="102" t="n"/>
      <c r="O39" s="103" t="n"/>
      <c r="P39" s="96" t="n"/>
      <c r="Q39" s="94" t="inlineStr">
        <is>
          <t>série 4</t>
        </is>
      </c>
      <c r="R39" s="102" t="n"/>
      <c r="S39" s="102" t="n"/>
      <c r="T39" s="103" t="n"/>
      <c r="U39" s="96" t="n"/>
      <c r="V39" s="94" t="inlineStr">
        <is>
          <t>série 5</t>
        </is>
      </c>
      <c r="W39" s="102" t="n"/>
      <c r="X39" s="102" t="n"/>
      <c r="Y39" s="103" t="n"/>
      <c r="Z39" s="96" t="n"/>
      <c r="AA39" s="110" t="inlineStr">
        <is>
          <t>VEL (2x1)</t>
        </is>
      </c>
      <c r="AB39" s="110" t="inlineStr">
        <is>
          <t>VEL (3x1)</t>
        </is>
      </c>
      <c r="AC39" s="110" t="inlineStr">
        <is>
          <t>VEL (4x1)</t>
        </is>
      </c>
      <c r="AD39" s="111" t="inlineStr">
        <is>
          <t>VEL (5x1)</t>
        </is>
      </c>
      <c r="AE39" s="112" t="n"/>
      <c r="AF39" s="97" t="n"/>
      <c r="AG39" s="113" t="inlineStr">
        <is>
          <t>VTT-SESSÃO</t>
        </is>
      </c>
      <c r="AH39" s="114" t="n"/>
      <c r="AI39" s="97" t="n"/>
      <c r="AJ39" s="113" t="inlineStr">
        <is>
          <t>CARGA DE TREINO (U.A)</t>
        </is>
      </c>
      <c r="AK39" s="115" t="n"/>
      <c r="AL39" s="114" t="n"/>
      <c r="AM39" s="97" t="n"/>
      <c r="AN39" s="97" t="n"/>
      <c r="AO39" s="97" t="n"/>
      <c r="AP39" s="97" t="n"/>
      <c r="AQ39" s="97" t="n"/>
    </row>
    <row r="40" ht="15.75" customHeight="1" s="85">
      <c r="A40" s="116" t="n"/>
      <c r="B40" s="117" t="inlineStr">
        <is>
          <t>nº reps</t>
        </is>
      </c>
      <c r="C40" s="117" t="inlineStr">
        <is>
          <t>peso(kg)</t>
        </is>
      </c>
      <c r="D40" s="117" t="inlineStr">
        <is>
          <t>veloc(s)</t>
        </is>
      </c>
      <c r="E40" s="118" t="inlineStr">
        <is>
          <t>VTT (sér)</t>
        </is>
      </c>
      <c r="F40" s="119" t="n"/>
      <c r="G40" s="117" t="inlineStr">
        <is>
          <t>nº reps</t>
        </is>
      </c>
      <c r="H40" s="117" t="inlineStr">
        <is>
          <t>peso(kg)</t>
        </is>
      </c>
      <c r="I40" s="117" t="inlineStr">
        <is>
          <t>veloc(s)</t>
        </is>
      </c>
      <c r="J40" s="118" t="inlineStr">
        <is>
          <t>VTT (sér)</t>
        </is>
      </c>
      <c r="K40" s="119" t="n"/>
      <c r="L40" s="117" t="inlineStr">
        <is>
          <t>nº reps</t>
        </is>
      </c>
      <c r="M40" s="117" t="inlineStr">
        <is>
          <t>peso(kg)</t>
        </is>
      </c>
      <c r="N40" s="117" t="inlineStr">
        <is>
          <t>veloc(s)</t>
        </is>
      </c>
      <c r="O40" s="118" t="inlineStr">
        <is>
          <t>VTT (sér)</t>
        </is>
      </c>
      <c r="P40" s="119" t="n"/>
      <c r="Q40" s="117" t="inlineStr">
        <is>
          <t>nº reps</t>
        </is>
      </c>
      <c r="R40" s="117" t="inlineStr">
        <is>
          <t>peso(kg)</t>
        </is>
      </c>
      <c r="S40" s="117" t="inlineStr">
        <is>
          <t>veloc(s)</t>
        </is>
      </c>
      <c r="T40" s="118" t="inlineStr">
        <is>
          <t>VTT (sér)</t>
        </is>
      </c>
      <c r="U40" s="119" t="n"/>
      <c r="V40" s="117" t="inlineStr">
        <is>
          <t>nº reps</t>
        </is>
      </c>
      <c r="W40" s="117" t="inlineStr">
        <is>
          <t>peso(kg)</t>
        </is>
      </c>
      <c r="X40" s="117" t="inlineStr">
        <is>
          <t>veloc(s)</t>
        </is>
      </c>
      <c r="Y40" s="118" t="inlineStr">
        <is>
          <t>VTT (sér)</t>
        </is>
      </c>
      <c r="Z40" s="119" t="n"/>
      <c r="AA40" s="120" t="n"/>
      <c r="AB40" s="120" t="n"/>
      <c r="AC40" s="120" t="n"/>
      <c r="AD40" s="89" t="n"/>
      <c r="AE40" s="116" t="n"/>
      <c r="AF40" s="97" t="n"/>
      <c r="AG40" s="98">
        <f>SUM(E54+J54+O54+T54+Y54)</f>
        <v/>
      </c>
      <c r="AH40" s="103" t="n"/>
      <c r="AI40" s="97" t="n"/>
      <c r="AJ40" s="98">
        <f>AE41*AG43</f>
        <v/>
      </c>
      <c r="AK40" s="102" t="n"/>
      <c r="AL40" s="103" t="n"/>
      <c r="AM40" s="97" t="n"/>
      <c r="AN40" s="97" t="n"/>
      <c r="AO40" s="97" t="n"/>
      <c r="AP40" s="97" t="n"/>
      <c r="AQ40" s="97" t="n"/>
    </row>
    <row r="41" ht="21" customHeight="1" s="85">
      <c r="A41" s="121" t="n"/>
      <c r="B41" s="121" t="n"/>
      <c r="C41" s="121" t="n"/>
      <c r="D41" s="121" t="n"/>
      <c r="E41" s="121">
        <f>B41*C41</f>
        <v/>
      </c>
      <c r="F41" s="93" t="n"/>
      <c r="G41" s="121" t="n"/>
      <c r="H41" s="121" t="n"/>
      <c r="I41" s="121" t="n"/>
      <c r="J41" s="121">
        <f>G41*H41</f>
        <v/>
      </c>
      <c r="K41" s="93" t="n"/>
      <c r="L41" s="121" t="n"/>
      <c r="M41" s="121" t="n"/>
      <c r="N41" s="121" t="n"/>
      <c r="O41" s="121">
        <f>L41*M41</f>
        <v/>
      </c>
      <c r="P41" s="93" t="n"/>
      <c r="Q41" s="121" t="n"/>
      <c r="R41" s="121" t="n"/>
      <c r="S41" s="121" t="n"/>
      <c r="T41" s="121">
        <f>Q41*R41</f>
        <v/>
      </c>
      <c r="U41" s="93" t="n"/>
      <c r="V41" s="121" t="n"/>
      <c r="W41" s="121" t="n"/>
      <c r="X41" s="121" t="n"/>
      <c r="Y41" s="121">
        <f>V41*W41</f>
        <v/>
      </c>
      <c r="Z41" s="93" t="n"/>
      <c r="AA41" s="122">
        <f>IFERROR(((I41-D41)/D41)*100,"")</f>
        <v/>
      </c>
      <c r="AB41" s="122">
        <f>IFERROR(((N41-D41)/D41)*100,"")</f>
        <v/>
      </c>
      <c r="AC41" s="122">
        <f>IFERROR(((S41-D41)/D41)*100,"")</f>
        <v/>
      </c>
      <c r="AD41" s="122">
        <f>IFERROR(((X41-D41)/D41)*100,"")</f>
        <v/>
      </c>
      <c r="AE41" s="123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</row>
    <row r="42" ht="21" customHeight="1" s="85">
      <c r="A42" s="124" t="inlineStr">
        <is>
          <t>Barra Fixa Aberta (livre/gravitron)</t>
        </is>
      </c>
      <c r="B42" s="124" t="n"/>
      <c r="C42" s="124" t="n"/>
      <c r="D42" s="124" t="n"/>
      <c r="E42" s="124">
        <f>B42*C42</f>
        <v/>
      </c>
      <c r="F42" s="93" t="n"/>
      <c r="G42" s="124" t="n"/>
      <c r="H42" s="124" t="n"/>
      <c r="I42" s="124" t="n"/>
      <c r="J42" s="124">
        <f>G42*H42</f>
        <v/>
      </c>
      <c r="K42" s="93" t="n"/>
      <c r="L42" s="124" t="n"/>
      <c r="M42" s="124" t="n"/>
      <c r="N42" s="124" t="n"/>
      <c r="O42" s="124">
        <f>L42*M42</f>
        <v/>
      </c>
      <c r="P42" s="93" t="n"/>
      <c r="Q42" s="124" t="n"/>
      <c r="R42" s="124" t="n"/>
      <c r="S42" s="124" t="n"/>
      <c r="T42" s="124">
        <f>Q42*R42</f>
        <v/>
      </c>
      <c r="U42" s="93" t="n"/>
      <c r="V42" s="124" t="n"/>
      <c r="W42" s="124" t="n"/>
      <c r="X42" s="124" t="n"/>
      <c r="Y42" s="124">
        <f>V42*W42</f>
        <v/>
      </c>
      <c r="Z42" s="93" t="n"/>
      <c r="AA42" s="125">
        <f>IFERROR(((I42-D42)/D42)*100,"")</f>
        <v/>
      </c>
      <c r="AB42" s="125">
        <f>IFERROR(((N42-D42)/D42)*100,"")</f>
        <v/>
      </c>
      <c r="AC42" s="125">
        <f>IFERROR(((S42-D42)/D42)*100,"")</f>
        <v/>
      </c>
      <c r="AD42" s="125">
        <f>IFERROR(((X42-D42)/D42)*100,"")</f>
        <v/>
      </c>
      <c r="AE42" s="126" t="n"/>
      <c r="AF42" s="97" t="n"/>
      <c r="AG42" s="113" t="inlineStr">
        <is>
          <t>Tempo total sessão (min)</t>
        </is>
      </c>
      <c r="AH42" s="115" t="n"/>
      <c r="AI42" s="115" t="n"/>
      <c r="AJ42" s="115" t="n"/>
      <c r="AK42" s="115" t="n"/>
      <c r="AL42" s="114" t="n"/>
      <c r="AM42" s="97" t="n"/>
      <c r="AN42" s="97" t="n"/>
      <c r="AO42" s="97" t="n"/>
      <c r="AP42" s="97" t="n"/>
      <c r="AQ42" s="97" t="n"/>
    </row>
    <row r="43" ht="21" customHeight="1" s="85">
      <c r="A43" s="121" t="inlineStr">
        <is>
          <t>Pulley Frente Aberto</t>
        </is>
      </c>
      <c r="B43" s="121" t="n"/>
      <c r="C43" s="121" t="n"/>
      <c r="D43" s="121" t="n"/>
      <c r="E43" s="121">
        <f>B43*C43</f>
        <v/>
      </c>
      <c r="F43" s="93" t="n"/>
      <c r="G43" s="121" t="n"/>
      <c r="H43" s="121" t="n"/>
      <c r="I43" s="121" t="n"/>
      <c r="J43" s="121">
        <f>G43*H43</f>
        <v/>
      </c>
      <c r="K43" s="93" t="n"/>
      <c r="L43" s="121" t="n"/>
      <c r="M43" s="121" t="n"/>
      <c r="N43" s="121" t="n"/>
      <c r="O43" s="121">
        <f>L43*M43</f>
        <v/>
      </c>
      <c r="P43" s="93" t="n"/>
      <c r="Q43" s="121" t="n"/>
      <c r="R43" s="121" t="n"/>
      <c r="S43" s="121" t="n"/>
      <c r="T43" s="121">
        <f>Q43*R43</f>
        <v/>
      </c>
      <c r="U43" s="93" t="n"/>
      <c r="V43" s="121" t="n"/>
      <c r="W43" s="121" t="n"/>
      <c r="X43" s="121" t="n"/>
      <c r="Y43" s="121">
        <f>V43*W43</f>
        <v/>
      </c>
      <c r="Z43" s="93" t="n"/>
      <c r="AA43" s="122">
        <f>IFERROR(((I43-D43)/D43)*100,"")</f>
        <v/>
      </c>
      <c r="AB43" s="122">
        <f>IFERROR(((N43-D43)/D43)*100,"")</f>
        <v/>
      </c>
      <c r="AC43" s="122">
        <f>IFERROR(((S43-D43)/D43)*100,"")</f>
        <v/>
      </c>
      <c r="AD43" s="122">
        <f>IFERROR(((X43-D43)/D43)*100,"")</f>
        <v/>
      </c>
      <c r="AE43" s="126" t="n"/>
      <c r="AF43" s="97" t="n"/>
      <c r="AG43" s="127" t="n"/>
      <c r="AH43" s="128" t="n"/>
      <c r="AI43" s="128" t="n"/>
      <c r="AJ43" s="128" t="n"/>
      <c r="AK43" s="128" t="n"/>
      <c r="AL43" s="129" t="n"/>
      <c r="AM43" s="97" t="n"/>
      <c r="AN43" s="97" t="n"/>
      <c r="AO43" s="97" t="n"/>
      <c r="AP43" s="97" t="n"/>
      <c r="AQ43" s="97" t="n"/>
    </row>
    <row r="44" ht="21" customHeight="1" s="85">
      <c r="A44" s="124" t="inlineStr">
        <is>
          <t>Remada Cavalinho Fechada</t>
        </is>
      </c>
      <c r="B44" s="124" t="n"/>
      <c r="C44" s="124" t="n"/>
      <c r="D44" s="124" t="n"/>
      <c r="E44" s="124">
        <f>B44*C44</f>
        <v/>
      </c>
      <c r="F44" s="93" t="n"/>
      <c r="G44" s="124" t="n"/>
      <c r="H44" s="124" t="n"/>
      <c r="I44" s="124" t="n"/>
      <c r="J44" s="124">
        <f>G44*H44</f>
        <v/>
      </c>
      <c r="K44" s="93" t="n"/>
      <c r="L44" s="124" t="n"/>
      <c r="M44" s="124" t="n"/>
      <c r="N44" s="124" t="n"/>
      <c r="O44" s="124">
        <f>L44*M44</f>
        <v/>
      </c>
      <c r="P44" s="93" t="n"/>
      <c r="Q44" s="124" t="n"/>
      <c r="R44" s="124" t="n"/>
      <c r="S44" s="124" t="n"/>
      <c r="T44" s="124">
        <f>Q44*R44</f>
        <v/>
      </c>
      <c r="U44" s="93" t="n"/>
      <c r="V44" s="124" t="n"/>
      <c r="W44" s="124" t="n"/>
      <c r="X44" s="124" t="n"/>
      <c r="Y44" s="124">
        <f>V44*W44</f>
        <v/>
      </c>
      <c r="Z44" s="93" t="n"/>
      <c r="AA44" s="125">
        <f>IFERROR(((I44-D44)/D44)*100,"")</f>
        <v/>
      </c>
      <c r="AB44" s="125">
        <f>IFERROR(((N44-D44)/D44)*100,"")</f>
        <v/>
      </c>
      <c r="AC44" s="125">
        <f>IFERROR(((S44-D44)/D44)*100,"")</f>
        <v/>
      </c>
      <c r="AD44" s="125">
        <f>IFERROR(((X44-D44)/D44)*100,"")</f>
        <v/>
      </c>
      <c r="AE44" s="126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</row>
    <row r="45" ht="21" customHeight="1" s="85">
      <c r="A45" s="121" t="inlineStr">
        <is>
          <t>Remada Máquina Pegada Neutra</t>
        </is>
      </c>
      <c r="B45" s="121" t="n"/>
      <c r="C45" s="121" t="n"/>
      <c r="D45" s="121" t="n"/>
      <c r="E45" s="121">
        <f>B45*C45</f>
        <v/>
      </c>
      <c r="F45" s="93" t="n"/>
      <c r="G45" s="121" t="n"/>
      <c r="H45" s="121" t="n"/>
      <c r="I45" s="121" t="n"/>
      <c r="J45" s="121">
        <f>G45*H45</f>
        <v/>
      </c>
      <c r="K45" s="93" t="n"/>
      <c r="L45" s="121" t="n"/>
      <c r="M45" s="121" t="n"/>
      <c r="N45" s="121" t="n"/>
      <c r="O45" s="121">
        <f>L45*M45</f>
        <v/>
      </c>
      <c r="P45" s="93" t="n"/>
      <c r="Q45" s="121" t="n"/>
      <c r="R45" s="121" t="n"/>
      <c r="S45" s="121" t="n"/>
      <c r="T45" s="121">
        <f>Q45*R45</f>
        <v/>
      </c>
      <c r="U45" s="93" t="n"/>
      <c r="V45" s="121" t="n"/>
      <c r="W45" s="121" t="n"/>
      <c r="X45" s="121" t="n"/>
      <c r="Y45" s="121">
        <f>V45*W45</f>
        <v/>
      </c>
      <c r="Z45" s="93" t="n"/>
      <c r="AA45" s="122">
        <f>IFERROR(((I45-D45)/D45)*100,"")</f>
        <v/>
      </c>
      <c r="AB45" s="122">
        <f>IFERROR(((N45-D45)/D45)*100,"")</f>
        <v/>
      </c>
      <c r="AC45" s="122">
        <f>IFERROR(((S45-D45)/D45)*100,"")</f>
        <v/>
      </c>
      <c r="AD45" s="122">
        <f>IFERROR(((X45-D45)/D45)*100,"")</f>
        <v/>
      </c>
      <c r="AE45" s="126" t="n"/>
      <c r="AF45" s="97" t="n"/>
      <c r="AG45" s="92" t="n"/>
      <c r="AM45" s="97" t="n"/>
      <c r="AN45" s="97" t="n"/>
      <c r="AO45" s="97" t="n"/>
      <c r="AP45" s="97" t="n"/>
      <c r="AQ45" s="97" t="n"/>
    </row>
    <row r="46" ht="21" customHeight="1" s="85">
      <c r="A46" s="124" t="inlineStr">
        <is>
          <t>Remada Curvada Aberta</t>
        </is>
      </c>
      <c r="B46" s="124" t="n"/>
      <c r="C46" s="124" t="n"/>
      <c r="D46" s="124" t="n"/>
      <c r="E46" s="124">
        <f>B46*C46</f>
        <v/>
      </c>
      <c r="F46" s="93" t="n"/>
      <c r="G46" s="124" t="n"/>
      <c r="H46" s="124" t="n"/>
      <c r="I46" s="124" t="n"/>
      <c r="J46" s="124">
        <f>G46*H46</f>
        <v/>
      </c>
      <c r="K46" s="93" t="n"/>
      <c r="L46" s="124" t="n"/>
      <c r="M46" s="124" t="n"/>
      <c r="N46" s="124" t="n"/>
      <c r="O46" s="124">
        <f>L46*M46</f>
        <v/>
      </c>
      <c r="P46" s="93" t="n"/>
      <c r="Q46" s="124" t="n"/>
      <c r="R46" s="124" t="n"/>
      <c r="S46" s="124" t="n"/>
      <c r="T46" s="124">
        <f>Q46*R46</f>
        <v/>
      </c>
      <c r="U46" s="93" t="n"/>
      <c r="V46" s="124" t="n"/>
      <c r="W46" s="124" t="n"/>
      <c r="X46" s="124" t="n"/>
      <c r="Y46" s="124">
        <f>V46*W46</f>
        <v/>
      </c>
      <c r="Z46" s="93" t="n"/>
      <c r="AA46" s="125">
        <f>IFERROR(((I46-D46)/D46)*100,"")</f>
        <v/>
      </c>
      <c r="AB46" s="125">
        <f>IFERROR(((N46-D46)/D46)*100,"")</f>
        <v/>
      </c>
      <c r="AC46" s="125">
        <f>IFERROR(((S46-D46)/D46)*100,"")</f>
        <v/>
      </c>
      <c r="AD46" s="125">
        <f>IFERROR(((X46-D46)/D46)*100,"")</f>
        <v/>
      </c>
      <c r="AE46" s="126" t="n"/>
      <c r="AF46" s="97" t="n"/>
      <c r="AG46" s="92" t="n"/>
      <c r="AM46" s="97" t="n"/>
      <c r="AN46" s="97" t="n"/>
      <c r="AO46" s="97" t="n"/>
      <c r="AP46" s="97" t="n"/>
      <c r="AQ46" s="97" t="n"/>
    </row>
    <row r="47" ht="21" customHeight="1" s="85">
      <c r="A47" s="121" t="inlineStr">
        <is>
          <t>Crucifixo Inverso Máquina</t>
        </is>
      </c>
      <c r="B47" s="121" t="n"/>
      <c r="C47" s="121" t="n"/>
      <c r="D47" s="121" t="n"/>
      <c r="E47" s="121">
        <f>B47*C47</f>
        <v/>
      </c>
      <c r="F47" s="93" t="n"/>
      <c r="G47" s="121" t="n"/>
      <c r="H47" s="121" t="n"/>
      <c r="I47" s="121" t="n"/>
      <c r="J47" s="121">
        <f>G47*H47</f>
        <v/>
      </c>
      <c r="K47" s="93" t="n"/>
      <c r="L47" s="121" t="n"/>
      <c r="M47" s="121" t="n"/>
      <c r="N47" s="121" t="n"/>
      <c r="O47" s="121">
        <f>L47*M47</f>
        <v/>
      </c>
      <c r="P47" s="93" t="n"/>
      <c r="Q47" s="121" t="n"/>
      <c r="R47" s="121" t="n"/>
      <c r="S47" s="121" t="n"/>
      <c r="T47" s="121">
        <f>Q47*R47</f>
        <v/>
      </c>
      <c r="U47" s="93" t="n"/>
      <c r="V47" s="121" t="n"/>
      <c r="W47" s="121" t="n"/>
      <c r="X47" s="121" t="n"/>
      <c r="Y47" s="121">
        <f>V47*W47</f>
        <v/>
      </c>
      <c r="Z47" s="93" t="n"/>
      <c r="AA47" s="122">
        <f>IFERROR(((I47-D47)/D47)*100,"")</f>
        <v/>
      </c>
      <c r="AB47" s="122">
        <f>IFERROR(((N47-D47)/D47)*100,"")</f>
        <v/>
      </c>
      <c r="AC47" s="122">
        <f>IFERROR(((S47-D47)/D47)*100,"")</f>
        <v/>
      </c>
      <c r="AD47" s="122">
        <f>IFERROR(((X47-D47)/D47)*100,"")</f>
        <v/>
      </c>
      <c r="AE47" s="126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</row>
    <row r="48" ht="21" customHeight="1" s="85">
      <c r="A48" s="124" t="inlineStr">
        <is>
          <t>Extensão Coluna Banco Eretor</t>
        </is>
      </c>
      <c r="B48" s="124" t="n"/>
      <c r="C48" s="124" t="n"/>
      <c r="D48" s="124" t="n"/>
      <c r="E48" s="124">
        <f>B48*C48</f>
        <v/>
      </c>
      <c r="F48" s="93" t="n"/>
      <c r="G48" s="124" t="n"/>
      <c r="H48" s="124" t="n"/>
      <c r="I48" s="124" t="n"/>
      <c r="J48" s="124">
        <f>G48*H48</f>
        <v/>
      </c>
      <c r="K48" s="93" t="n"/>
      <c r="L48" s="124" t="n"/>
      <c r="M48" s="124" t="n"/>
      <c r="N48" s="124" t="n"/>
      <c r="O48" s="124">
        <f>L48*M48</f>
        <v/>
      </c>
      <c r="P48" s="93" t="n"/>
      <c r="Q48" s="124" t="n"/>
      <c r="R48" s="124" t="n"/>
      <c r="S48" s="124" t="n"/>
      <c r="T48" s="124">
        <f>Q48*R48</f>
        <v/>
      </c>
      <c r="U48" s="93" t="n"/>
      <c r="V48" s="124" t="n"/>
      <c r="W48" s="124" t="n"/>
      <c r="X48" s="124" t="n"/>
      <c r="Y48" s="124">
        <f>V48*W48</f>
        <v/>
      </c>
      <c r="Z48" s="93" t="n"/>
      <c r="AA48" s="125">
        <f>IFERROR(((I48-D48)/D48)*100,"")</f>
        <v/>
      </c>
      <c r="AB48" s="125">
        <f>IFERROR(((N48-D48)/D48)*100,"")</f>
        <v/>
      </c>
      <c r="AC48" s="125">
        <f>IFERROR(((S48-D48)/D48)*100,"")</f>
        <v/>
      </c>
      <c r="AD48" s="125">
        <f>IFERROR(((X48-D48)/D48)*100,"")</f>
        <v/>
      </c>
      <c r="AE48" s="126" t="n"/>
      <c r="AF48" s="97" t="n"/>
      <c r="AG48" s="96" t="n"/>
      <c r="AM48" s="97" t="n"/>
      <c r="AN48" s="97" t="n"/>
      <c r="AO48" s="97" t="n"/>
      <c r="AP48" s="97" t="n"/>
      <c r="AQ48" s="97" t="n"/>
    </row>
    <row r="49" ht="21" customHeight="1" s="85">
      <c r="A49" s="121" t="n"/>
      <c r="B49" s="121" t="n"/>
      <c r="C49" s="121" t="n"/>
      <c r="D49" s="121" t="n"/>
      <c r="E49" s="121">
        <f>B49*C49</f>
        <v/>
      </c>
      <c r="F49" s="93" t="n"/>
      <c r="G49" s="121" t="n"/>
      <c r="H49" s="121" t="n"/>
      <c r="I49" s="121" t="n"/>
      <c r="J49" s="121">
        <f>G49*H49</f>
        <v/>
      </c>
      <c r="K49" s="93" t="n"/>
      <c r="L49" s="121" t="n"/>
      <c r="M49" s="121" t="n"/>
      <c r="N49" s="121" t="n"/>
      <c r="O49" s="121">
        <f>L49*M49</f>
        <v/>
      </c>
      <c r="P49" s="93" t="n"/>
      <c r="Q49" s="121" t="n"/>
      <c r="R49" s="121" t="n"/>
      <c r="S49" s="121" t="n"/>
      <c r="T49" s="121">
        <f>Q49*R49</f>
        <v/>
      </c>
      <c r="U49" s="93" t="n"/>
      <c r="V49" s="121" t="n"/>
      <c r="W49" s="121" t="n"/>
      <c r="X49" s="121" t="n"/>
      <c r="Y49" s="121">
        <f>V49*W49</f>
        <v/>
      </c>
      <c r="Z49" s="93" t="n"/>
      <c r="AA49" s="122">
        <f>IFERROR(((I49-D49)/D49)*100,"")</f>
        <v/>
      </c>
      <c r="AB49" s="122">
        <f>IFERROR(((N49-D49)/D49)*100,"")</f>
        <v/>
      </c>
      <c r="AC49" s="122">
        <f>IFERROR(((S49-D49)/D49)*100,"")</f>
        <v/>
      </c>
      <c r="AD49" s="122">
        <f>IFERROR(((X49-D49)/D49)*100,"")</f>
        <v/>
      </c>
      <c r="AE49" s="126" t="n"/>
      <c r="AF49" s="97" t="n"/>
      <c r="AG49" s="93" t="n"/>
      <c r="AM49" s="97" t="n"/>
      <c r="AN49" s="97" t="n"/>
      <c r="AO49" s="97" t="n"/>
      <c r="AP49" s="97" t="n"/>
      <c r="AQ49" s="97" t="n"/>
    </row>
    <row r="50" ht="21" customHeight="1" s="85">
      <c r="A50" s="124" t="n"/>
      <c r="B50" s="124" t="n"/>
      <c r="C50" s="124" t="n"/>
      <c r="D50" s="124" t="n"/>
      <c r="E50" s="124">
        <f>B50*C50</f>
        <v/>
      </c>
      <c r="F50" s="93" t="n"/>
      <c r="G50" s="124" t="n"/>
      <c r="H50" s="124" t="n"/>
      <c r="I50" s="124" t="n"/>
      <c r="J50" s="124">
        <f>G50*H50</f>
        <v/>
      </c>
      <c r="K50" s="93" t="n"/>
      <c r="L50" s="124" t="n"/>
      <c r="M50" s="124" t="n"/>
      <c r="N50" s="124" t="n"/>
      <c r="O50" s="124">
        <f>L50*M50</f>
        <v/>
      </c>
      <c r="P50" s="93" t="n"/>
      <c r="Q50" s="124" t="n"/>
      <c r="R50" s="124" t="n"/>
      <c r="S50" s="124" t="n"/>
      <c r="T50" s="124">
        <f>Q50*R50</f>
        <v/>
      </c>
      <c r="U50" s="93" t="n"/>
      <c r="V50" s="124" t="n"/>
      <c r="W50" s="124" t="n"/>
      <c r="X50" s="124" t="n"/>
      <c r="Y50" s="124">
        <f>V50*W50</f>
        <v/>
      </c>
      <c r="Z50" s="93" t="n"/>
      <c r="AA50" s="125">
        <f>IFERROR(((I50-D50)/D50)*100,"")</f>
        <v/>
      </c>
      <c r="AB50" s="125">
        <f>IFERROR(((N50-D50)/D50)*100,"")</f>
        <v/>
      </c>
      <c r="AC50" s="125">
        <f>IFERROR(((S50-D50)/D50)*100,"")</f>
        <v/>
      </c>
      <c r="AD50" s="125">
        <f>IFERROR(((X50-D50)/D50)*100,"")</f>
        <v/>
      </c>
      <c r="AE50" s="126" t="n"/>
      <c r="AF50" s="97" t="n"/>
      <c r="AG50" s="145" t="n"/>
      <c r="AM50" s="97" t="n"/>
      <c r="AN50" s="97" t="n"/>
      <c r="AO50" s="97" t="n"/>
      <c r="AP50" s="97" t="n"/>
      <c r="AQ50" s="97" t="n"/>
    </row>
    <row r="51" ht="21" customHeight="1" s="85">
      <c r="A51" s="121" t="n"/>
      <c r="B51" s="121" t="n"/>
      <c r="C51" s="121" t="n"/>
      <c r="D51" s="121" t="n"/>
      <c r="E51" s="121">
        <f>B51*C51</f>
        <v/>
      </c>
      <c r="F51" s="93" t="n"/>
      <c r="G51" s="121" t="n"/>
      <c r="H51" s="121" t="n"/>
      <c r="I51" s="121" t="n"/>
      <c r="J51" s="121">
        <f>G51*H51</f>
        <v/>
      </c>
      <c r="K51" s="93" t="n"/>
      <c r="L51" s="121" t="n"/>
      <c r="M51" s="121" t="n"/>
      <c r="N51" s="121" t="n"/>
      <c r="O51" s="121">
        <f>L51*M51</f>
        <v/>
      </c>
      <c r="P51" s="93" t="n"/>
      <c r="Q51" s="121" t="n"/>
      <c r="R51" s="121" t="n"/>
      <c r="S51" s="121" t="n"/>
      <c r="T51" s="121">
        <f>Q51*R51</f>
        <v/>
      </c>
      <c r="U51" s="93" t="n"/>
      <c r="V51" s="121" t="n"/>
      <c r="W51" s="121" t="n"/>
      <c r="X51" s="121" t="n"/>
      <c r="Y51" s="121">
        <f>V51*W51</f>
        <v/>
      </c>
      <c r="Z51" s="93" t="n"/>
      <c r="AA51" s="122">
        <f>IFERROR(((I51-D51)/D51)*100,"")</f>
        <v/>
      </c>
      <c r="AB51" s="122">
        <f>IFERROR(((N51-D51)/D51)*100,"")</f>
        <v/>
      </c>
      <c r="AC51" s="122">
        <f>IFERROR(((S51-D51)/D51)*100,"")</f>
        <v/>
      </c>
      <c r="AD51" s="122">
        <f>IFERROR(((X51-D51)/D51)*100,"")</f>
        <v/>
      </c>
      <c r="AE51" s="126" t="n"/>
      <c r="AF51" s="97" t="n"/>
      <c r="AG51" s="134" t="n"/>
      <c r="AH51" s="134" t="n"/>
      <c r="AJ51" s="134" t="n"/>
      <c r="AK51" s="134" t="n"/>
      <c r="AL51" s="134" t="n"/>
      <c r="AM51" s="97" t="n"/>
      <c r="AN51" s="97" t="n"/>
      <c r="AO51" s="97" t="n"/>
      <c r="AP51" s="97" t="n"/>
      <c r="AQ51" s="97" t="n"/>
    </row>
    <row r="52" ht="21" customHeight="1" s="85">
      <c r="A52" s="124" t="n"/>
      <c r="B52" s="124" t="n"/>
      <c r="C52" s="124" t="n"/>
      <c r="D52" s="124" t="n"/>
      <c r="E52" s="124">
        <f>B52*C52</f>
        <v/>
      </c>
      <c r="F52" s="93" t="n"/>
      <c r="G52" s="124" t="n"/>
      <c r="H52" s="124" t="n"/>
      <c r="I52" s="124" t="n"/>
      <c r="J52" s="124">
        <f>G52*H52</f>
        <v/>
      </c>
      <c r="K52" s="93" t="n"/>
      <c r="L52" s="124" t="n"/>
      <c r="M52" s="124" t="n"/>
      <c r="N52" s="124" t="n"/>
      <c r="O52" s="124">
        <f>L52*M52</f>
        <v/>
      </c>
      <c r="P52" s="93" t="n"/>
      <c r="Q52" s="124" t="n"/>
      <c r="R52" s="124" t="n"/>
      <c r="S52" s="124" t="n"/>
      <c r="T52" s="124">
        <f>Q52*R52</f>
        <v/>
      </c>
      <c r="U52" s="93" t="n"/>
      <c r="V52" s="124" t="n"/>
      <c r="W52" s="124" t="n"/>
      <c r="X52" s="124" t="n"/>
      <c r="Y52" s="124">
        <f>V52*W52</f>
        <v/>
      </c>
      <c r="Z52" s="93" t="n"/>
      <c r="AA52" s="125">
        <f>IFERROR(((I52-D52)/D52)*100,"")</f>
        <v/>
      </c>
      <c r="AB52" s="125">
        <f>IFERROR(((N52-D52)/D52)*100,"")</f>
        <v/>
      </c>
      <c r="AC52" s="125">
        <f>IFERROR(((S52-D52)/D52)*100,"")</f>
        <v/>
      </c>
      <c r="AD52" s="125">
        <f>IFERROR(((X52-D52)/D52)*100,"")</f>
        <v/>
      </c>
      <c r="AE52" s="137" t="n"/>
      <c r="AF52" s="97" t="n"/>
      <c r="AG52" s="92" t="n"/>
      <c r="AH52" s="92" t="n"/>
      <c r="AJ52" s="92" t="n"/>
      <c r="AK52" s="92" t="n"/>
      <c r="AL52" s="92" t="n"/>
      <c r="AM52" s="138">
        <f>AG52*AG51</f>
        <v/>
      </c>
      <c r="AN52" s="138">
        <f>AH52*AH51</f>
        <v/>
      </c>
      <c r="AO52" s="138">
        <f>AJ52*AJ51</f>
        <v/>
      </c>
      <c r="AP52" s="138">
        <f>AK52*AK51</f>
        <v/>
      </c>
      <c r="AQ52" s="138">
        <f>AL52*AL51</f>
        <v/>
      </c>
    </row>
    <row r="53" ht="15.75" customHeight="1" s="85">
      <c r="A53" s="93" t="n"/>
      <c r="B53" s="93" t="n"/>
      <c r="C53" s="93" t="n"/>
      <c r="D53" s="93" t="n"/>
      <c r="E53" s="139" t="inlineStr">
        <is>
          <t>PR</t>
        </is>
      </c>
      <c r="F53" s="140" t="n"/>
      <c r="G53" s="121" t="n"/>
      <c r="H53" s="93" t="n"/>
      <c r="I53" s="93" t="n"/>
      <c r="J53" s="139" t="inlineStr">
        <is>
          <t>PR</t>
        </is>
      </c>
      <c r="K53" s="140" t="n"/>
      <c r="L53" s="121" t="n"/>
      <c r="M53" s="93" t="n"/>
      <c r="N53" s="93" t="n"/>
      <c r="O53" s="139" t="inlineStr">
        <is>
          <t>PR</t>
        </is>
      </c>
      <c r="P53" s="140" t="n"/>
      <c r="Q53" s="121" t="n"/>
      <c r="R53" s="93" t="n"/>
      <c r="S53" s="93" t="n"/>
      <c r="T53" s="139" t="inlineStr">
        <is>
          <t>PR</t>
        </is>
      </c>
      <c r="U53" s="140" t="n"/>
      <c r="V53" s="121" t="n"/>
      <c r="W53" s="93" t="n"/>
      <c r="X53" s="93" t="n"/>
      <c r="Y53" s="93" t="n"/>
      <c r="Z53" s="93" t="n"/>
      <c r="AA53" s="97" t="n"/>
      <c r="AB53" s="97" t="n"/>
      <c r="AC53" s="92" t="inlineStr">
        <is>
          <t>PR-M</t>
        </is>
      </c>
      <c r="AD53" s="97">
        <f>IFERROR(AVERAGE(G53,L53,Q53,V53),"")</f>
        <v/>
      </c>
      <c r="AE53" s="141" t="n"/>
      <c r="AF53" s="97" t="n"/>
      <c r="AG53" s="92" t="n"/>
      <c r="AH53" s="92" t="n"/>
      <c r="AI53" s="92" t="n"/>
      <c r="AJ53" s="92" t="n"/>
      <c r="AK53" s="92" t="n"/>
      <c r="AL53" s="92" t="n"/>
      <c r="AM53" s="138" t="n"/>
      <c r="AN53" s="138" t="n"/>
      <c r="AO53" s="138" t="n"/>
      <c r="AP53" s="138" t="n"/>
      <c r="AQ53" s="138" t="n"/>
    </row>
    <row r="54" ht="15.75" customHeight="1" s="85">
      <c r="A54" s="97" t="n"/>
      <c r="B54" s="93" t="n"/>
      <c r="C54" s="93" t="n"/>
      <c r="D54" s="93" t="n"/>
      <c r="E54" s="142">
        <f>SUM(E41:E52)</f>
        <v/>
      </c>
      <c r="F54" s="142" t="n"/>
      <c r="G54" s="142" t="n"/>
      <c r="H54" s="142" t="n"/>
      <c r="I54" s="142" t="n"/>
      <c r="J54" s="142">
        <f>SUM(J41:J52)</f>
        <v/>
      </c>
      <c r="K54" s="142" t="n"/>
      <c r="L54" s="142" t="n"/>
      <c r="M54" s="142" t="n"/>
      <c r="N54" s="142" t="n"/>
      <c r="O54" s="142">
        <f>SUM(O41:O52)</f>
        <v/>
      </c>
      <c r="P54" s="142" t="n"/>
      <c r="Q54" s="142" t="n"/>
      <c r="R54" s="142" t="n"/>
      <c r="S54" s="142" t="n"/>
      <c r="T54" s="142">
        <f>SUM(T41:T52)</f>
        <v/>
      </c>
      <c r="U54" s="142" t="n"/>
      <c r="V54" s="142" t="n"/>
      <c r="W54" s="142" t="n"/>
      <c r="X54" s="142" t="n"/>
      <c r="Y54" s="142">
        <f>SUM(Y41:Y52)</f>
        <v/>
      </c>
      <c r="Z54" s="142" t="n"/>
      <c r="AA54" s="138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</row>
    <row r="55" ht="15" customHeight="1" s="85">
      <c r="A55" s="97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inlineStr">
        <is>
          <t>Son</t>
        </is>
      </c>
      <c r="M55" s="94" t="inlineStr">
        <is>
          <t>Estr</t>
        </is>
      </c>
      <c r="N55" s="94" t="inlineStr">
        <is>
          <t>Fad</t>
        </is>
      </c>
      <c r="O55" s="94" t="inlineStr">
        <is>
          <t>Dor</t>
        </is>
      </c>
      <c r="P55" s="93" t="n"/>
      <c r="Q55" s="95" t="inlineStr">
        <is>
          <t>Média</t>
        </is>
      </c>
      <c r="S55" s="93" t="n"/>
      <c r="T55" s="96" t="inlineStr">
        <is>
          <t>Teste de potência</t>
        </is>
      </c>
      <c r="Y55" s="93" t="n"/>
      <c r="Z55" s="93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</row>
    <row r="56" ht="15.75" customHeight="1" s="85">
      <c r="A56" s="98" t="inlineStr">
        <is>
          <t>QUINTA-FEIRA</t>
        </is>
      </c>
      <c r="B56" s="93" t="n"/>
      <c r="C56" s="99" t="inlineStr">
        <is>
          <t>DATA</t>
        </is>
      </c>
      <c r="D56" s="100" t="n"/>
      <c r="E56" s="143" t="n"/>
      <c r="F56" s="102" t="n"/>
      <c r="G56" s="102" t="n"/>
      <c r="H56" s="103" t="n"/>
      <c r="I56" s="93" t="n"/>
      <c r="J56" s="93" t="n"/>
      <c r="K56" s="93" t="n"/>
      <c r="L56" s="94" t="n"/>
      <c r="M56" s="94" t="n"/>
      <c r="N56" s="94" t="n"/>
      <c r="O56" s="94" t="n"/>
      <c r="P56" s="93" t="n"/>
      <c r="Q56" s="104">
        <f>IFERROR(AVERAGE(L56:O56),"")</f>
        <v/>
      </c>
      <c r="R56" s="103" t="n"/>
      <c r="S56" s="105">
        <f>Q56</f>
        <v/>
      </c>
      <c r="T56" s="121" t="n"/>
      <c r="U56" s="102" t="n"/>
      <c r="V56" s="102" t="n"/>
      <c r="W56" s="102" t="n"/>
      <c r="X56" s="103" t="n"/>
      <c r="Y56" s="93" t="n"/>
      <c r="Z56" s="93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</row>
    <row r="57" ht="15" customHeight="1" s="85">
      <c r="A57" s="106" t="inlineStr">
        <is>
          <t>Exercícios</t>
        </is>
      </c>
      <c r="B57" s="107" t="inlineStr">
        <is>
          <t>série 1</t>
        </is>
      </c>
      <c r="C57" s="102" t="n"/>
      <c r="D57" s="102" t="n"/>
      <c r="E57" s="103" t="n"/>
      <c r="F57" s="96" t="n"/>
      <c r="G57" s="108" t="inlineStr">
        <is>
          <t>série 2</t>
        </is>
      </c>
      <c r="H57" s="100" t="n"/>
      <c r="I57" s="100" t="n"/>
      <c r="J57" s="109" t="n"/>
      <c r="K57" s="96" t="n"/>
      <c r="L57" s="94" t="inlineStr">
        <is>
          <t>série 3</t>
        </is>
      </c>
      <c r="M57" s="102" t="n"/>
      <c r="N57" s="102" t="n"/>
      <c r="O57" s="103" t="n"/>
      <c r="P57" s="96" t="n"/>
      <c r="Q57" s="94" t="inlineStr">
        <is>
          <t>série 4</t>
        </is>
      </c>
      <c r="R57" s="102" t="n"/>
      <c r="S57" s="102" t="n"/>
      <c r="T57" s="103" t="n"/>
      <c r="U57" s="96" t="n"/>
      <c r="V57" s="94" t="inlineStr">
        <is>
          <t>série 5</t>
        </is>
      </c>
      <c r="W57" s="102" t="n"/>
      <c r="X57" s="102" t="n"/>
      <c r="Y57" s="103" t="n"/>
      <c r="Z57" s="96" t="n"/>
      <c r="AA57" s="110" t="inlineStr">
        <is>
          <t>VEL (2x1)</t>
        </is>
      </c>
      <c r="AB57" s="110" t="inlineStr">
        <is>
          <t>VEL (3x1)</t>
        </is>
      </c>
      <c r="AC57" s="110" t="inlineStr">
        <is>
          <t>VEL (4x1)</t>
        </is>
      </c>
      <c r="AD57" s="111" t="inlineStr">
        <is>
          <t>VEL (5x1)</t>
        </is>
      </c>
      <c r="AE57" s="112" t="n"/>
      <c r="AF57" s="97" t="n"/>
      <c r="AG57" s="113" t="inlineStr">
        <is>
          <t>VTT-SESSÃO</t>
        </is>
      </c>
      <c r="AH57" s="114" t="n"/>
      <c r="AI57" s="97" t="n"/>
      <c r="AJ57" s="113" t="inlineStr">
        <is>
          <t>CARGA DE TREINO (U.A)</t>
        </is>
      </c>
      <c r="AK57" s="115" t="n"/>
      <c r="AL57" s="114" t="n"/>
      <c r="AM57" s="97" t="n"/>
      <c r="AN57" s="97" t="n"/>
      <c r="AO57" s="97" t="n"/>
      <c r="AP57" s="97" t="n"/>
      <c r="AQ57" s="97" t="n"/>
    </row>
    <row r="58" ht="15.75" customHeight="1" s="85">
      <c r="A58" s="116" t="n"/>
      <c r="B58" s="117" t="inlineStr">
        <is>
          <t>nº reps</t>
        </is>
      </c>
      <c r="C58" s="117" t="inlineStr">
        <is>
          <t>peso(kg)</t>
        </is>
      </c>
      <c r="D58" s="117" t="inlineStr">
        <is>
          <t>veloc(s)</t>
        </is>
      </c>
      <c r="E58" s="118" t="inlineStr">
        <is>
          <t>VTT (sér)</t>
        </is>
      </c>
      <c r="F58" s="119" t="n"/>
      <c r="G58" s="117" t="inlineStr">
        <is>
          <t>nº reps</t>
        </is>
      </c>
      <c r="H58" s="117" t="inlineStr">
        <is>
          <t>peso(kg)</t>
        </is>
      </c>
      <c r="I58" s="117" t="inlineStr">
        <is>
          <t>veloc(s)</t>
        </is>
      </c>
      <c r="J58" s="118" t="inlineStr">
        <is>
          <t>VTT (sér)</t>
        </is>
      </c>
      <c r="K58" s="119" t="n"/>
      <c r="L58" s="117" t="inlineStr">
        <is>
          <t>nº reps</t>
        </is>
      </c>
      <c r="M58" s="117" t="inlineStr">
        <is>
          <t>peso(kg)</t>
        </is>
      </c>
      <c r="N58" s="117" t="inlineStr">
        <is>
          <t>veloc(s)</t>
        </is>
      </c>
      <c r="O58" s="118" t="inlineStr">
        <is>
          <t>VTT (sér)</t>
        </is>
      </c>
      <c r="P58" s="119" t="n"/>
      <c r="Q58" s="117" t="inlineStr">
        <is>
          <t>nº reps</t>
        </is>
      </c>
      <c r="R58" s="117" t="inlineStr">
        <is>
          <t>peso(kg)</t>
        </is>
      </c>
      <c r="S58" s="117" t="inlineStr">
        <is>
          <t>veloc(s)</t>
        </is>
      </c>
      <c r="T58" s="118" t="inlineStr">
        <is>
          <t>VTT (sér)</t>
        </is>
      </c>
      <c r="U58" s="119" t="n"/>
      <c r="V58" s="117" t="inlineStr">
        <is>
          <t>nº reps</t>
        </is>
      </c>
      <c r="W58" s="117" t="inlineStr">
        <is>
          <t>peso(kg)</t>
        </is>
      </c>
      <c r="X58" s="117" t="inlineStr">
        <is>
          <t>veloc(s)</t>
        </is>
      </c>
      <c r="Y58" s="118" t="inlineStr">
        <is>
          <t>VTT (sér)</t>
        </is>
      </c>
      <c r="Z58" s="119" t="n"/>
      <c r="AA58" s="120" t="n"/>
      <c r="AB58" s="120" t="n"/>
      <c r="AC58" s="120" t="n"/>
      <c r="AD58" s="89" t="n"/>
      <c r="AE58" s="116" t="n"/>
      <c r="AF58" s="97" t="n"/>
      <c r="AG58" s="98">
        <f>SUM(E72+J72+O72+T72+Y72)</f>
        <v/>
      </c>
      <c r="AH58" s="103" t="n"/>
      <c r="AI58" s="97" t="n"/>
      <c r="AJ58" s="98">
        <f>AE59*AG61</f>
        <v/>
      </c>
      <c r="AK58" s="102" t="n"/>
      <c r="AL58" s="103" t="n"/>
      <c r="AM58" s="97" t="n"/>
      <c r="AN58" s="97" t="n"/>
      <c r="AO58" s="97" t="n"/>
      <c r="AP58" s="97" t="n"/>
      <c r="AQ58" s="97" t="n"/>
    </row>
    <row r="59" ht="21" customHeight="1" s="85">
      <c r="A59" s="121" t="n"/>
      <c r="B59" s="121" t="n"/>
      <c r="C59" s="121" t="n"/>
      <c r="D59" s="121" t="n"/>
      <c r="E59" s="121">
        <f>B59*C59</f>
        <v/>
      </c>
      <c r="F59" s="93" t="n"/>
      <c r="G59" s="121" t="n"/>
      <c r="H59" s="121" t="n"/>
      <c r="I59" s="121" t="n"/>
      <c r="J59" s="121">
        <f>G59*H59</f>
        <v/>
      </c>
      <c r="K59" s="93" t="n"/>
      <c r="L59" s="121" t="n"/>
      <c r="M59" s="121" t="n"/>
      <c r="N59" s="121" t="n"/>
      <c r="O59" s="121">
        <f>L59*M59</f>
        <v/>
      </c>
      <c r="P59" s="93" t="n"/>
      <c r="Q59" s="121" t="n"/>
      <c r="R59" s="121" t="n"/>
      <c r="S59" s="121" t="n"/>
      <c r="T59" s="121">
        <f>Q59*R59</f>
        <v/>
      </c>
      <c r="U59" s="93" t="n"/>
      <c r="V59" s="121" t="n"/>
      <c r="W59" s="121" t="n"/>
      <c r="X59" s="121" t="n"/>
      <c r="Y59" s="121">
        <f>V59*W59</f>
        <v/>
      </c>
      <c r="Z59" s="93" t="n"/>
      <c r="AA59" s="122">
        <f>IFERROR(((I59-D59)/D59)*100,"")</f>
        <v/>
      </c>
      <c r="AB59" s="122">
        <f>IFERROR(((N59-D59)/D59)*100,"")</f>
        <v/>
      </c>
      <c r="AC59" s="122">
        <f>IFERROR(((S59-D59)/D59)*100,"")</f>
        <v/>
      </c>
      <c r="AD59" s="122">
        <f>IFERROR(((X59-D59)/D59)*100,"")</f>
        <v/>
      </c>
      <c r="AE59" s="123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</row>
    <row r="60" ht="21" customHeight="1" s="85">
      <c r="A60" s="124" t="inlineStr">
        <is>
          <t>Cadeira Abdutora 90°</t>
        </is>
      </c>
      <c r="B60" s="124" t="n"/>
      <c r="C60" s="124" t="n"/>
      <c r="D60" s="124" t="n"/>
      <c r="E60" s="124">
        <f>B60*C60</f>
        <v/>
      </c>
      <c r="F60" s="93" t="n"/>
      <c r="G60" s="124" t="n"/>
      <c r="H60" s="124" t="n"/>
      <c r="I60" s="124" t="n"/>
      <c r="J60" s="124">
        <f>G60*H60</f>
        <v/>
      </c>
      <c r="K60" s="93" t="n"/>
      <c r="L60" s="124" t="n"/>
      <c r="M60" s="124" t="n"/>
      <c r="N60" s="124" t="n"/>
      <c r="O60" s="124">
        <f>L60*M60</f>
        <v/>
      </c>
      <c r="P60" s="93" t="n"/>
      <c r="Q60" s="124" t="n"/>
      <c r="R60" s="124" t="n"/>
      <c r="S60" s="124" t="n"/>
      <c r="T60" s="124">
        <f>Q60*R60</f>
        <v/>
      </c>
      <c r="U60" s="93" t="n"/>
      <c r="V60" s="124" t="n"/>
      <c r="W60" s="124" t="n"/>
      <c r="X60" s="124" t="n"/>
      <c r="Y60" s="124">
        <f>V60*W60</f>
        <v/>
      </c>
      <c r="Z60" s="93" t="n"/>
      <c r="AA60" s="125">
        <f>IFERROR(((I60-D60)/D60)*100,"")</f>
        <v/>
      </c>
      <c r="AB60" s="125">
        <f>IFERROR(((N60-D60)/D60)*100,"")</f>
        <v/>
      </c>
      <c r="AC60" s="125">
        <f>IFERROR(((S60-D60)/D60)*100,"")</f>
        <v/>
      </c>
      <c r="AD60" s="125">
        <f>IFERROR(((X60-D60)/D60)*100,"")</f>
        <v/>
      </c>
      <c r="AE60" s="126" t="n"/>
      <c r="AF60" s="97" t="n"/>
      <c r="AG60" s="113" t="inlineStr">
        <is>
          <t>Tempo total sessão (min)</t>
        </is>
      </c>
      <c r="AH60" s="115" t="n"/>
      <c r="AI60" s="115" t="n"/>
      <c r="AJ60" s="115" t="n"/>
      <c r="AK60" s="115" t="n"/>
      <c r="AL60" s="114" t="n"/>
      <c r="AM60" s="97" t="n"/>
      <c r="AN60" s="97" t="n"/>
      <c r="AO60" s="97" t="n"/>
      <c r="AP60" s="97" t="n"/>
      <c r="AQ60" s="97" t="n"/>
    </row>
    <row r="61" ht="21" customHeight="1" s="85">
      <c r="A61" s="121" t="inlineStr">
        <is>
          <t>Elevação Pélvica Máquina</t>
        </is>
      </c>
      <c r="B61" s="121" t="n"/>
      <c r="C61" s="121" t="n"/>
      <c r="D61" s="121" t="n"/>
      <c r="E61" s="121">
        <f>B61*C61</f>
        <v/>
      </c>
      <c r="F61" s="93" t="n"/>
      <c r="G61" s="121" t="n"/>
      <c r="H61" s="121" t="n"/>
      <c r="I61" s="121" t="n"/>
      <c r="J61" s="121">
        <f>G61*H61</f>
        <v/>
      </c>
      <c r="K61" s="93" t="n"/>
      <c r="L61" s="121" t="n"/>
      <c r="M61" s="121" t="n"/>
      <c r="N61" s="121" t="n"/>
      <c r="O61" s="121">
        <f>L61*M61</f>
        <v/>
      </c>
      <c r="P61" s="93" t="n"/>
      <c r="Q61" s="121" t="n"/>
      <c r="R61" s="121" t="n"/>
      <c r="S61" s="121" t="n"/>
      <c r="T61" s="121">
        <f>Q61*R61</f>
        <v/>
      </c>
      <c r="U61" s="93" t="n"/>
      <c r="V61" s="121" t="n"/>
      <c r="W61" s="121" t="n"/>
      <c r="X61" s="121" t="n"/>
      <c r="Y61" s="121">
        <f>V61*W61</f>
        <v/>
      </c>
      <c r="Z61" s="93" t="n"/>
      <c r="AA61" s="122">
        <f>IFERROR(((I61-D61)/D61)*100,"")</f>
        <v/>
      </c>
      <c r="AB61" s="122">
        <f>IFERROR(((N61-D61)/D61)*100,"")</f>
        <v/>
      </c>
      <c r="AC61" s="122">
        <f>IFERROR(((S61-D61)/D61)*100,"")</f>
        <v/>
      </c>
      <c r="AD61" s="122">
        <f>IFERROR(((X61-D61)/D61)*100,"")</f>
        <v/>
      </c>
      <c r="AE61" s="126" t="n"/>
      <c r="AF61" s="97" t="n"/>
      <c r="AG61" s="127" t="n"/>
      <c r="AH61" s="128" t="n"/>
      <c r="AI61" s="128" t="n"/>
      <c r="AJ61" s="128" t="n"/>
      <c r="AK61" s="128" t="n"/>
      <c r="AL61" s="129" t="n"/>
      <c r="AM61" s="97" t="n"/>
      <c r="AN61" s="97" t="n"/>
      <c r="AO61" s="97" t="n"/>
      <c r="AP61" s="97" t="n"/>
      <c r="AQ61" s="97" t="n"/>
    </row>
    <row r="62" ht="21" customHeight="1" s="85">
      <c r="A62" s="124" t="inlineStr">
        <is>
          <t>Levantamento Terra</t>
        </is>
      </c>
      <c r="B62" s="124" t="n"/>
      <c r="C62" s="124" t="n"/>
      <c r="D62" s="124" t="n"/>
      <c r="E62" s="124">
        <f>B62*C62</f>
        <v/>
      </c>
      <c r="F62" s="93" t="n"/>
      <c r="G62" s="124" t="n"/>
      <c r="H62" s="124" t="n"/>
      <c r="I62" s="124" t="n"/>
      <c r="J62" s="124">
        <f>G62*H62</f>
        <v/>
      </c>
      <c r="K62" s="93" t="n"/>
      <c r="L62" s="124" t="n"/>
      <c r="M62" s="124" t="n"/>
      <c r="N62" s="124" t="n"/>
      <c r="O62" s="124">
        <f>L62*M62</f>
        <v/>
      </c>
      <c r="P62" s="93" t="n"/>
      <c r="Q62" s="124" t="n"/>
      <c r="R62" s="124" t="n"/>
      <c r="S62" s="124" t="n"/>
      <c r="T62" s="124">
        <f>Q62*R62</f>
        <v/>
      </c>
      <c r="U62" s="93" t="n"/>
      <c r="V62" s="124" t="n"/>
      <c r="W62" s="124" t="n"/>
      <c r="X62" s="124" t="n"/>
      <c r="Y62" s="124">
        <f>V62*W62</f>
        <v/>
      </c>
      <c r="Z62" s="93" t="n"/>
      <c r="AA62" s="125">
        <f>IFERROR(((I62-D62)/D62)*100,"")</f>
        <v/>
      </c>
      <c r="AB62" s="125">
        <f>IFERROR(((N62-D62)/D62)*100,"")</f>
        <v/>
      </c>
      <c r="AC62" s="125">
        <f>IFERROR(((S62-D62)/D62)*100,"")</f>
        <v/>
      </c>
      <c r="AD62" s="125">
        <f>IFERROR(((X62-D62)/D62)*100,"")</f>
        <v/>
      </c>
      <c r="AE62" s="126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</row>
    <row r="63" ht="21" customHeight="1" s="85">
      <c r="A63" s="121" t="inlineStr">
        <is>
          <t>Stiff c/ Barra</t>
        </is>
      </c>
      <c r="B63" s="121" t="n"/>
      <c r="C63" s="121" t="n"/>
      <c r="D63" s="121" t="n"/>
      <c r="E63" s="121">
        <f>B63*C63</f>
        <v/>
      </c>
      <c r="F63" s="93" t="n"/>
      <c r="G63" s="121" t="n"/>
      <c r="H63" s="121" t="n"/>
      <c r="I63" s="121" t="n"/>
      <c r="J63" s="121">
        <f>G63*H63</f>
        <v/>
      </c>
      <c r="K63" s="93" t="n"/>
      <c r="L63" s="121" t="n"/>
      <c r="M63" s="121" t="n"/>
      <c r="N63" s="121" t="n"/>
      <c r="O63" s="121">
        <f>L63*M63</f>
        <v/>
      </c>
      <c r="P63" s="93" t="n"/>
      <c r="Q63" s="121" t="n"/>
      <c r="R63" s="121" t="n"/>
      <c r="S63" s="121" t="n"/>
      <c r="T63" s="121">
        <f>Q63*R63</f>
        <v/>
      </c>
      <c r="U63" s="93" t="n"/>
      <c r="V63" s="121" t="n"/>
      <c r="W63" s="121" t="n"/>
      <c r="X63" s="121" t="n"/>
      <c r="Y63" s="121">
        <f>V63*W63</f>
        <v/>
      </c>
      <c r="Z63" s="93" t="n"/>
      <c r="AA63" s="122">
        <f>IFERROR(((I63-D63)/D63)*100,"")</f>
        <v/>
      </c>
      <c r="AB63" s="122">
        <f>IFERROR(((N63-D63)/D63)*100,"")</f>
        <v/>
      </c>
      <c r="AC63" s="122">
        <f>IFERROR(((S63-D63)/D63)*100,"")</f>
        <v/>
      </c>
      <c r="AD63" s="122">
        <f>IFERROR(((X63-D63)/D63)*100,"")</f>
        <v/>
      </c>
      <c r="AE63" s="126" t="n"/>
      <c r="AF63" s="97" t="n"/>
      <c r="AG63" s="92" t="n"/>
      <c r="AM63" s="97" t="n"/>
      <c r="AN63" s="97" t="n"/>
      <c r="AO63" s="97" t="n"/>
      <c r="AP63" s="97" t="n"/>
      <c r="AQ63" s="97" t="n"/>
    </row>
    <row r="64" ht="21" customHeight="1" s="85">
      <c r="A64" s="124" t="inlineStr">
        <is>
          <t>Mesa Flexora</t>
        </is>
      </c>
      <c r="B64" s="124" t="n"/>
      <c r="C64" s="124" t="n"/>
      <c r="D64" s="124" t="n"/>
      <c r="E64" s="124">
        <f>B64*C64</f>
        <v/>
      </c>
      <c r="F64" s="93" t="n"/>
      <c r="G64" s="124" t="n"/>
      <c r="H64" s="124" t="n"/>
      <c r="I64" s="124" t="n"/>
      <c r="J64" s="124">
        <f>G64*H64</f>
        <v/>
      </c>
      <c r="K64" s="93" t="n"/>
      <c r="L64" s="124" t="n"/>
      <c r="M64" s="124" t="n"/>
      <c r="N64" s="124" t="n"/>
      <c r="O64" s="124">
        <f>L64*M64</f>
        <v/>
      </c>
      <c r="P64" s="93" t="n"/>
      <c r="Q64" s="124" t="n"/>
      <c r="R64" s="124" t="n"/>
      <c r="S64" s="124" t="n"/>
      <c r="T64" s="124">
        <f>Q64*R64</f>
        <v/>
      </c>
      <c r="U64" s="93" t="n"/>
      <c r="V64" s="124" t="n"/>
      <c r="W64" s="124" t="n"/>
      <c r="X64" s="124" t="n"/>
      <c r="Y64" s="124">
        <f>V64*W64</f>
        <v/>
      </c>
      <c r="Z64" s="93" t="n"/>
      <c r="AA64" s="125">
        <f>IFERROR(((I64-D64)/D64)*100,"")</f>
        <v/>
      </c>
      <c r="AB64" s="125">
        <f>IFERROR(((N64-D64)/D64)*100,"")</f>
        <v/>
      </c>
      <c r="AC64" s="125">
        <f>IFERROR(((S64-D64)/D64)*100,"")</f>
        <v/>
      </c>
      <c r="AD64" s="125">
        <f>IFERROR(((X64-D64)/D64)*100,"")</f>
        <v/>
      </c>
      <c r="AE64" s="126" t="n"/>
      <c r="AF64" s="97" t="n"/>
      <c r="AG64" s="92" t="n"/>
      <c r="AM64" s="97" t="n"/>
      <c r="AN64" s="97" t="n"/>
      <c r="AO64" s="97" t="n"/>
      <c r="AP64" s="97" t="n"/>
      <c r="AQ64" s="97" t="n"/>
    </row>
    <row r="65" ht="21" customHeight="1" s="85">
      <c r="A65" s="121" t="inlineStr">
        <is>
          <t>Cadeira Flexora</t>
        </is>
      </c>
      <c r="B65" s="121" t="n"/>
      <c r="C65" s="121" t="n"/>
      <c r="D65" s="121" t="n"/>
      <c r="E65" s="121">
        <f>B65*C65</f>
        <v/>
      </c>
      <c r="F65" s="93" t="n"/>
      <c r="G65" s="121" t="n"/>
      <c r="H65" s="121" t="n"/>
      <c r="I65" s="121" t="n"/>
      <c r="J65" s="121">
        <f>G65*H65</f>
        <v/>
      </c>
      <c r="K65" s="93" t="n"/>
      <c r="L65" s="121" t="n"/>
      <c r="M65" s="121" t="n"/>
      <c r="N65" s="121" t="n"/>
      <c r="O65" s="121">
        <f>L65*M65</f>
        <v/>
      </c>
      <c r="P65" s="93" t="n"/>
      <c r="Q65" s="121" t="n"/>
      <c r="R65" s="121" t="n"/>
      <c r="S65" s="121" t="n"/>
      <c r="T65" s="121">
        <f>Q65*R65</f>
        <v/>
      </c>
      <c r="U65" s="93" t="n"/>
      <c r="V65" s="121" t="n"/>
      <c r="W65" s="121" t="n"/>
      <c r="X65" s="121" t="n"/>
      <c r="Y65" s="121">
        <f>V65*W65</f>
        <v/>
      </c>
      <c r="Z65" s="93" t="n"/>
      <c r="AA65" s="122">
        <f>IFERROR(((I65-D65)/D65)*100,"")</f>
        <v/>
      </c>
      <c r="AB65" s="122">
        <f>IFERROR(((N65-D65)/D65)*100,"")</f>
        <v/>
      </c>
      <c r="AC65" s="122">
        <f>IFERROR(((S65-D65)/D65)*100,"")</f>
        <v/>
      </c>
      <c r="AD65" s="122">
        <f>IFERROR(((X65-D65)/D65)*100,"")</f>
        <v/>
      </c>
      <c r="AE65" s="126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</row>
    <row r="66" ht="21" customHeight="1" s="85">
      <c r="A66" s="124" t="inlineStr">
        <is>
          <t>Gêmeos Sentado</t>
        </is>
      </c>
      <c r="B66" s="124" t="n"/>
      <c r="C66" s="124" t="n"/>
      <c r="D66" s="124" t="n"/>
      <c r="E66" s="124">
        <f>B66*C66</f>
        <v/>
      </c>
      <c r="F66" s="93" t="n"/>
      <c r="G66" s="124" t="n"/>
      <c r="H66" s="124" t="n"/>
      <c r="I66" s="124" t="n"/>
      <c r="J66" s="124">
        <f>G66*H66</f>
        <v/>
      </c>
      <c r="K66" s="93" t="n"/>
      <c r="L66" s="124" t="n"/>
      <c r="M66" s="124" t="n"/>
      <c r="N66" s="124" t="n"/>
      <c r="O66" s="124">
        <f>L66*M66</f>
        <v/>
      </c>
      <c r="P66" s="93" t="n"/>
      <c r="Q66" s="124" t="n"/>
      <c r="R66" s="124" t="n"/>
      <c r="S66" s="124" t="n"/>
      <c r="T66" s="124">
        <f>Q66*R66</f>
        <v/>
      </c>
      <c r="U66" s="93" t="n"/>
      <c r="V66" s="124" t="n"/>
      <c r="W66" s="124" t="n"/>
      <c r="X66" s="124" t="n"/>
      <c r="Y66" s="124">
        <f>V66*W66</f>
        <v/>
      </c>
      <c r="Z66" s="93" t="n"/>
      <c r="AA66" s="125">
        <f>IFERROR(((I66-D66)/D66)*100,"")</f>
        <v/>
      </c>
      <c r="AB66" s="125">
        <f>IFERROR(((N66-D66)/D66)*100,"")</f>
        <v/>
      </c>
      <c r="AC66" s="125">
        <f>IFERROR(((S66-D66)/D66)*100,"")</f>
        <v/>
      </c>
      <c r="AD66" s="125">
        <f>IFERROR(((X66-D66)/D66)*100,"")</f>
        <v/>
      </c>
      <c r="AE66" s="126" t="n"/>
      <c r="AF66" s="97" t="n"/>
      <c r="AG66" s="96" t="n"/>
      <c r="AM66" s="97" t="n"/>
      <c r="AN66" s="97" t="n"/>
      <c r="AO66" s="97" t="n"/>
      <c r="AP66" s="97" t="n"/>
      <c r="AQ66" s="97" t="n"/>
    </row>
    <row r="67" ht="21" customHeight="1" s="85">
      <c r="A67" s="121" t="inlineStr">
        <is>
          <t>Gêmeos Máquina em Pé</t>
        </is>
      </c>
      <c r="B67" s="121" t="n"/>
      <c r="C67" s="121" t="n"/>
      <c r="D67" s="121" t="n"/>
      <c r="E67" s="121">
        <f>B67*C67</f>
        <v/>
      </c>
      <c r="F67" s="93" t="n"/>
      <c r="G67" s="121" t="n"/>
      <c r="H67" s="121" t="n"/>
      <c r="I67" s="121" t="n"/>
      <c r="J67" s="121">
        <f>G67*H67</f>
        <v/>
      </c>
      <c r="K67" s="93" t="n"/>
      <c r="L67" s="121" t="n"/>
      <c r="M67" s="121" t="n"/>
      <c r="N67" s="121" t="n"/>
      <c r="O67" s="121">
        <f>L67*M67</f>
        <v/>
      </c>
      <c r="P67" s="93" t="n"/>
      <c r="Q67" s="121" t="n"/>
      <c r="R67" s="121" t="n"/>
      <c r="S67" s="121" t="n"/>
      <c r="T67" s="121">
        <f>Q67*R67</f>
        <v/>
      </c>
      <c r="U67" s="93" t="n"/>
      <c r="V67" s="121" t="n"/>
      <c r="W67" s="121" t="n"/>
      <c r="X67" s="121" t="n"/>
      <c r="Y67" s="121">
        <f>V67*W67</f>
        <v/>
      </c>
      <c r="Z67" s="93" t="n"/>
      <c r="AA67" s="122">
        <f>IFERROR(((I67-D67)/D67)*100,"")</f>
        <v/>
      </c>
      <c r="AB67" s="122">
        <f>IFERROR(((N67-D67)/D67)*100,"")</f>
        <v/>
      </c>
      <c r="AC67" s="122">
        <f>IFERROR(((S67-D67)/D67)*100,"")</f>
        <v/>
      </c>
      <c r="AD67" s="122">
        <f>IFERROR(((X67-D67)/D67)*100,"")</f>
        <v/>
      </c>
      <c r="AE67" s="126" t="n"/>
      <c r="AF67" s="97" t="n"/>
      <c r="AG67" s="93" t="n"/>
      <c r="AM67" s="97" t="n"/>
      <c r="AN67" s="97" t="n"/>
      <c r="AO67" s="97" t="n"/>
      <c r="AP67" s="97" t="n"/>
      <c r="AQ67" s="97" t="n"/>
    </row>
    <row r="68" ht="21" customHeight="1" s="85">
      <c r="A68" s="124" t="n"/>
      <c r="B68" s="124" t="n"/>
      <c r="C68" s="124" t="n"/>
      <c r="D68" s="124" t="n"/>
      <c r="E68" s="124">
        <f>B68*C68</f>
        <v/>
      </c>
      <c r="F68" s="93" t="n"/>
      <c r="G68" s="124" t="n"/>
      <c r="H68" s="124" t="n"/>
      <c r="I68" s="124" t="n"/>
      <c r="J68" s="124">
        <f>G68*H68</f>
        <v/>
      </c>
      <c r="K68" s="93" t="n"/>
      <c r="L68" s="124" t="n"/>
      <c r="M68" s="124" t="n"/>
      <c r="N68" s="124" t="n"/>
      <c r="O68" s="124">
        <f>L68*M68</f>
        <v/>
      </c>
      <c r="P68" s="93" t="n"/>
      <c r="Q68" s="124" t="n"/>
      <c r="R68" s="124" t="n"/>
      <c r="S68" s="124" t="n"/>
      <c r="T68" s="124">
        <f>Q68*R68</f>
        <v/>
      </c>
      <c r="U68" s="93" t="n"/>
      <c r="V68" s="124" t="n"/>
      <c r="W68" s="124" t="n"/>
      <c r="X68" s="124" t="n"/>
      <c r="Y68" s="124">
        <f>V68*W68</f>
        <v/>
      </c>
      <c r="Z68" s="93" t="n"/>
      <c r="AA68" s="125">
        <f>IFERROR(((I68-D68)/D68)*100,"")</f>
        <v/>
      </c>
      <c r="AB68" s="125">
        <f>IFERROR(((N68-D68)/D68)*100,"")</f>
        <v/>
      </c>
      <c r="AC68" s="125">
        <f>IFERROR(((S68-D68)/D68)*100,"")</f>
        <v/>
      </c>
      <c r="AD68" s="125">
        <f>IFERROR(((X68-D68)/D68)*100,"")</f>
        <v/>
      </c>
      <c r="AE68" s="126" t="n"/>
      <c r="AF68" s="97" t="n"/>
      <c r="AG68" s="145" t="n"/>
      <c r="AM68" s="97" t="n"/>
      <c r="AN68" s="97" t="n"/>
      <c r="AO68" s="97" t="n"/>
      <c r="AP68" s="97" t="n"/>
      <c r="AQ68" s="97" t="n"/>
    </row>
    <row r="69" ht="21" customHeight="1" s="85">
      <c r="A69" s="121" t="n"/>
      <c r="B69" s="121" t="n"/>
      <c r="C69" s="121" t="n"/>
      <c r="D69" s="121" t="n"/>
      <c r="E69" s="121">
        <f>B69*C69</f>
        <v/>
      </c>
      <c r="F69" s="93" t="n"/>
      <c r="G69" s="121" t="n"/>
      <c r="H69" s="121" t="n"/>
      <c r="I69" s="121" t="n"/>
      <c r="J69" s="121">
        <f>G69*H69</f>
        <v/>
      </c>
      <c r="K69" s="93" t="n"/>
      <c r="L69" s="121" t="n"/>
      <c r="M69" s="121" t="n"/>
      <c r="N69" s="121" t="n"/>
      <c r="O69" s="121">
        <f>L69*M69</f>
        <v/>
      </c>
      <c r="P69" s="93" t="n"/>
      <c r="Q69" s="121" t="n"/>
      <c r="R69" s="121" t="n"/>
      <c r="S69" s="121" t="n"/>
      <c r="T69" s="121">
        <f>Q69*R69</f>
        <v/>
      </c>
      <c r="U69" s="93" t="n"/>
      <c r="V69" s="121" t="n"/>
      <c r="W69" s="121" t="n"/>
      <c r="X69" s="121" t="n"/>
      <c r="Y69" s="121">
        <f>V69*W69</f>
        <v/>
      </c>
      <c r="Z69" s="93" t="n"/>
      <c r="AA69" s="122">
        <f>IFERROR(((I69-D69)/D69)*100,"")</f>
        <v/>
      </c>
      <c r="AB69" s="122">
        <f>IFERROR(((N69-D69)/D69)*100,"")</f>
        <v/>
      </c>
      <c r="AC69" s="122">
        <f>IFERROR(((S69-D69)/D69)*100,"")</f>
        <v/>
      </c>
      <c r="AD69" s="122">
        <f>IFERROR(((X69-D69)/D69)*100,"")</f>
        <v/>
      </c>
      <c r="AE69" s="126" t="n"/>
      <c r="AF69" s="97" t="n"/>
      <c r="AG69" s="134" t="n"/>
      <c r="AH69" s="134" t="n"/>
      <c r="AJ69" s="134" t="n"/>
      <c r="AK69" s="134" t="n"/>
      <c r="AL69" s="134" t="n"/>
      <c r="AM69" s="97" t="n"/>
      <c r="AN69" s="97" t="n"/>
      <c r="AO69" s="97" t="n"/>
      <c r="AP69" s="97" t="n"/>
      <c r="AQ69" s="97" t="n"/>
    </row>
    <row r="70" ht="21" customHeight="1" s="85">
      <c r="A70" s="124" t="n"/>
      <c r="B70" s="124" t="n"/>
      <c r="C70" s="124" t="n"/>
      <c r="D70" s="124" t="n"/>
      <c r="E70" s="124">
        <f>B70*C70</f>
        <v/>
      </c>
      <c r="F70" s="93" t="n"/>
      <c r="G70" s="124" t="n"/>
      <c r="H70" s="124" t="n"/>
      <c r="I70" s="124" t="n"/>
      <c r="J70" s="124">
        <f>G70*H70</f>
        <v/>
      </c>
      <c r="K70" s="93" t="n"/>
      <c r="L70" s="124" t="n"/>
      <c r="M70" s="124" t="n"/>
      <c r="N70" s="124" t="n"/>
      <c r="O70" s="124">
        <f>L70*M70</f>
        <v/>
      </c>
      <c r="P70" s="93" t="n"/>
      <c r="Q70" s="124" t="n"/>
      <c r="R70" s="124" t="n"/>
      <c r="S70" s="124" t="n"/>
      <c r="T70" s="124">
        <f>Q70*R70</f>
        <v/>
      </c>
      <c r="U70" s="93" t="n"/>
      <c r="V70" s="124" t="n"/>
      <c r="W70" s="124" t="n"/>
      <c r="X70" s="124" t="n"/>
      <c r="Y70" s="124">
        <f>V70*W70</f>
        <v/>
      </c>
      <c r="Z70" s="93" t="n"/>
      <c r="AA70" s="125">
        <f>IFERROR(((I70-D70)/D70)*100,"")</f>
        <v/>
      </c>
      <c r="AB70" s="125">
        <f>IFERROR(((N70-D70)/D70)*100,"")</f>
        <v/>
      </c>
      <c r="AC70" s="125">
        <f>IFERROR(((S70-D70)/D70)*100,"")</f>
        <v/>
      </c>
      <c r="AD70" s="125">
        <f>IFERROR(((X70-D70)/D70)*100,"")</f>
        <v/>
      </c>
      <c r="AE70" s="137" t="n"/>
      <c r="AF70" s="97" t="n"/>
      <c r="AG70" s="92" t="n"/>
      <c r="AH70" s="92" t="n"/>
      <c r="AJ70" s="92" t="n"/>
      <c r="AK70" s="92" t="n"/>
      <c r="AL70" s="92" t="n"/>
      <c r="AM70" s="138">
        <f>AG70*AG69</f>
        <v/>
      </c>
      <c r="AN70" s="138">
        <f>AH70*AH69</f>
        <v/>
      </c>
      <c r="AO70" s="138">
        <f>AJ70*AJ69</f>
        <v/>
      </c>
      <c r="AP70" s="138">
        <f>AK70*AK69</f>
        <v/>
      </c>
      <c r="AQ70" s="138">
        <f>AL70*AL69</f>
        <v/>
      </c>
    </row>
    <row r="71" ht="15.75" customHeight="1" s="85">
      <c r="A71" s="93" t="n"/>
      <c r="B71" s="93" t="n"/>
      <c r="C71" s="93" t="n"/>
      <c r="D71" s="93" t="n"/>
      <c r="E71" s="139" t="inlineStr">
        <is>
          <t>PR</t>
        </is>
      </c>
      <c r="F71" s="140" t="n"/>
      <c r="G71" s="121" t="n"/>
      <c r="H71" s="93" t="n"/>
      <c r="I71" s="93" t="n"/>
      <c r="J71" s="139" t="inlineStr">
        <is>
          <t>PR</t>
        </is>
      </c>
      <c r="K71" s="140" t="n"/>
      <c r="L71" s="121" t="n"/>
      <c r="M71" s="93" t="n"/>
      <c r="N71" s="93" t="n"/>
      <c r="O71" s="139" t="inlineStr">
        <is>
          <t>PR</t>
        </is>
      </c>
      <c r="P71" s="140" t="n"/>
      <c r="Q71" s="121" t="n"/>
      <c r="R71" s="93" t="n"/>
      <c r="S71" s="93" t="n"/>
      <c r="T71" s="139" t="inlineStr">
        <is>
          <t>PR</t>
        </is>
      </c>
      <c r="U71" s="140" t="n"/>
      <c r="V71" s="121" t="n"/>
      <c r="W71" s="93" t="n"/>
      <c r="X71" s="93" t="n"/>
      <c r="Y71" s="93" t="n"/>
      <c r="Z71" s="93" t="n"/>
      <c r="AA71" s="97" t="n"/>
      <c r="AB71" s="97" t="n"/>
      <c r="AC71" s="92" t="inlineStr">
        <is>
          <t>PR-M</t>
        </is>
      </c>
      <c r="AD71" s="97">
        <f>IFERROR(AVERAGE(G71,L71,Q71,V71),"")</f>
        <v/>
      </c>
      <c r="AE71" s="141" t="n"/>
      <c r="AF71" s="97" t="n"/>
      <c r="AG71" s="92" t="n"/>
      <c r="AH71" s="92" t="n"/>
      <c r="AI71" s="92" t="n"/>
      <c r="AJ71" s="92" t="n"/>
      <c r="AK71" s="92" t="n"/>
      <c r="AL71" s="92" t="n"/>
      <c r="AM71" s="138" t="n"/>
      <c r="AN71" s="138" t="n"/>
      <c r="AO71" s="138" t="n"/>
      <c r="AP71" s="138" t="n"/>
      <c r="AQ71" s="138" t="n"/>
    </row>
    <row r="72" ht="15.75" customHeight="1" s="85">
      <c r="A72" s="97" t="n"/>
      <c r="B72" s="93" t="n"/>
      <c r="C72" s="93" t="n"/>
      <c r="D72" s="93" t="n"/>
      <c r="E72" s="142">
        <f>SUM(E59:E70)</f>
        <v/>
      </c>
      <c r="F72" s="142" t="n"/>
      <c r="G72" s="142" t="n"/>
      <c r="H72" s="142" t="n"/>
      <c r="I72" s="142" t="n"/>
      <c r="J72" s="142">
        <f>SUM(J59:J70)</f>
        <v/>
      </c>
      <c r="K72" s="142" t="n"/>
      <c r="L72" s="142" t="n"/>
      <c r="M72" s="142" t="n"/>
      <c r="N72" s="142" t="n"/>
      <c r="O72" s="142">
        <f>SUM(O59:O70)</f>
        <v/>
      </c>
      <c r="P72" s="142" t="n"/>
      <c r="Q72" s="142" t="n"/>
      <c r="R72" s="142" t="n"/>
      <c r="S72" s="142" t="n"/>
      <c r="T72" s="142">
        <f>SUM(T59:T70)</f>
        <v/>
      </c>
      <c r="U72" s="142" t="n"/>
      <c r="V72" s="142" t="n"/>
      <c r="W72" s="142" t="n"/>
      <c r="X72" s="142" t="n"/>
      <c r="Y72" s="142">
        <f>SUM(Y59:Y70)</f>
        <v/>
      </c>
      <c r="Z72" s="142" t="n"/>
      <c r="AA72" s="138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</row>
    <row r="73" ht="15" customHeight="1" s="85">
      <c r="A73" s="97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4" t="inlineStr">
        <is>
          <t>Son</t>
        </is>
      </c>
      <c r="M73" s="94" t="inlineStr">
        <is>
          <t>Estr</t>
        </is>
      </c>
      <c r="N73" s="94" t="inlineStr">
        <is>
          <t>Fad</t>
        </is>
      </c>
      <c r="O73" s="94" t="inlineStr">
        <is>
          <t>Dor</t>
        </is>
      </c>
      <c r="P73" s="93" t="n"/>
      <c r="Q73" s="95" t="inlineStr">
        <is>
          <t>Média</t>
        </is>
      </c>
      <c r="S73" s="93" t="n"/>
      <c r="T73" s="96" t="inlineStr">
        <is>
          <t>Teste de potência</t>
        </is>
      </c>
      <c r="Y73" s="93" t="n"/>
      <c r="Z73" s="93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</row>
    <row r="74" ht="15.75" customHeight="1" s="85">
      <c r="A74" s="98" t="inlineStr">
        <is>
          <t>SEXTA-FEIRA</t>
        </is>
      </c>
      <c r="B74" s="93" t="n"/>
      <c r="C74" s="99" t="inlineStr">
        <is>
          <t>DATA</t>
        </is>
      </c>
      <c r="D74" s="100" t="n"/>
      <c r="E74" s="143" t="n"/>
      <c r="F74" s="102" t="n"/>
      <c r="G74" s="102" t="n"/>
      <c r="H74" s="103" t="n"/>
      <c r="I74" s="93" t="n"/>
      <c r="J74" s="93" t="n"/>
      <c r="K74" s="93" t="n"/>
      <c r="L74" s="94" t="n"/>
      <c r="M74" s="94" t="n"/>
      <c r="N74" s="94" t="n"/>
      <c r="O74" s="94" t="n"/>
      <c r="P74" s="93" t="n"/>
      <c r="Q74" s="104">
        <f>IFERROR(AVERAGE(L74:O74),"")</f>
        <v/>
      </c>
      <c r="R74" s="103" t="n"/>
      <c r="S74" s="105">
        <f>Q74</f>
        <v/>
      </c>
      <c r="T74" s="121" t="n"/>
      <c r="U74" s="102" t="n"/>
      <c r="V74" s="102" t="n"/>
      <c r="W74" s="102" t="n"/>
      <c r="X74" s="103" t="n"/>
      <c r="Y74" s="93" t="n"/>
      <c r="Z74" s="93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</row>
    <row r="75" ht="15" customHeight="1" s="85">
      <c r="A75" s="106" t="inlineStr">
        <is>
          <t>Exercícios</t>
        </is>
      </c>
      <c r="B75" s="107" t="inlineStr">
        <is>
          <t>série 1</t>
        </is>
      </c>
      <c r="C75" s="102" t="n"/>
      <c r="D75" s="102" t="n"/>
      <c r="E75" s="103" t="n"/>
      <c r="F75" s="96" t="n"/>
      <c r="G75" s="108" t="inlineStr">
        <is>
          <t>série 2</t>
        </is>
      </c>
      <c r="H75" s="100" t="n"/>
      <c r="I75" s="100" t="n"/>
      <c r="J75" s="109" t="n"/>
      <c r="K75" s="96" t="n"/>
      <c r="L75" s="94" t="inlineStr">
        <is>
          <t>série 3</t>
        </is>
      </c>
      <c r="M75" s="102" t="n"/>
      <c r="N75" s="102" t="n"/>
      <c r="O75" s="103" t="n"/>
      <c r="P75" s="96" t="n"/>
      <c r="Q75" s="94" t="inlineStr">
        <is>
          <t>série 4</t>
        </is>
      </c>
      <c r="R75" s="102" t="n"/>
      <c r="S75" s="102" t="n"/>
      <c r="T75" s="103" t="n"/>
      <c r="U75" s="96" t="n"/>
      <c r="V75" s="94" t="inlineStr">
        <is>
          <t>série 5</t>
        </is>
      </c>
      <c r="W75" s="102" t="n"/>
      <c r="X75" s="102" t="n"/>
      <c r="Y75" s="103" t="n"/>
      <c r="Z75" s="96" t="n"/>
      <c r="AA75" s="110" t="inlineStr">
        <is>
          <t>VEL (2x1)</t>
        </is>
      </c>
      <c r="AB75" s="110" t="inlineStr">
        <is>
          <t>VEL (3x1)</t>
        </is>
      </c>
      <c r="AC75" s="110" t="inlineStr">
        <is>
          <t>VEL (4x1)</t>
        </is>
      </c>
      <c r="AD75" s="111" t="inlineStr">
        <is>
          <t>VEL (5x1)</t>
        </is>
      </c>
      <c r="AE75" s="112" t="n"/>
      <c r="AF75" s="97" t="n"/>
      <c r="AG75" s="113" t="inlineStr">
        <is>
          <t>VTT-SESSÃO</t>
        </is>
      </c>
      <c r="AH75" s="114" t="n"/>
      <c r="AI75" s="97" t="n"/>
      <c r="AJ75" s="113" t="inlineStr">
        <is>
          <t>CARGA DE TREINO (U.A)</t>
        </is>
      </c>
      <c r="AK75" s="115" t="n"/>
      <c r="AL75" s="114" t="n"/>
      <c r="AM75" s="97" t="n"/>
      <c r="AN75" s="97" t="n"/>
      <c r="AO75" s="97" t="n"/>
      <c r="AP75" s="97" t="n"/>
      <c r="AQ75" s="97" t="n"/>
    </row>
    <row r="76" ht="15.75" customHeight="1" s="85">
      <c r="A76" s="116" t="n"/>
      <c r="B76" s="117" t="inlineStr">
        <is>
          <t>nº reps</t>
        </is>
      </c>
      <c r="C76" s="117" t="inlineStr">
        <is>
          <t>peso(kg)</t>
        </is>
      </c>
      <c r="D76" s="117" t="inlineStr">
        <is>
          <t>veloc(s)</t>
        </is>
      </c>
      <c r="E76" s="118" t="inlineStr">
        <is>
          <t>VTT (sér)</t>
        </is>
      </c>
      <c r="F76" s="119" t="n"/>
      <c r="G76" s="117" t="inlineStr">
        <is>
          <t>nº reps</t>
        </is>
      </c>
      <c r="H76" s="117" t="inlineStr">
        <is>
          <t>peso(kg)</t>
        </is>
      </c>
      <c r="I76" s="117" t="inlineStr">
        <is>
          <t>veloc(s)</t>
        </is>
      </c>
      <c r="J76" s="118" t="inlineStr">
        <is>
          <t>VTT (sér)</t>
        </is>
      </c>
      <c r="K76" s="119" t="n"/>
      <c r="L76" s="117" t="inlineStr">
        <is>
          <t>nº reps</t>
        </is>
      </c>
      <c r="M76" s="117" t="inlineStr">
        <is>
          <t>peso(kg)</t>
        </is>
      </c>
      <c r="N76" s="117" t="inlineStr">
        <is>
          <t>veloc(s)</t>
        </is>
      </c>
      <c r="O76" s="118" t="inlineStr">
        <is>
          <t>VTT (sér)</t>
        </is>
      </c>
      <c r="P76" s="119" t="n"/>
      <c r="Q76" s="117" t="inlineStr">
        <is>
          <t>nº reps</t>
        </is>
      </c>
      <c r="R76" s="117" t="inlineStr">
        <is>
          <t>peso(kg)</t>
        </is>
      </c>
      <c r="S76" s="117" t="inlineStr">
        <is>
          <t>veloc(s)</t>
        </is>
      </c>
      <c r="T76" s="118" t="inlineStr">
        <is>
          <t>VTT (sér)</t>
        </is>
      </c>
      <c r="U76" s="119" t="n"/>
      <c r="V76" s="117" t="inlineStr">
        <is>
          <t>nº reps</t>
        </is>
      </c>
      <c r="W76" s="117" t="inlineStr">
        <is>
          <t>peso(kg)</t>
        </is>
      </c>
      <c r="X76" s="117" t="inlineStr">
        <is>
          <t>veloc(s)</t>
        </is>
      </c>
      <c r="Y76" s="118" t="inlineStr">
        <is>
          <t>VTT (sér)</t>
        </is>
      </c>
      <c r="Z76" s="119" t="n"/>
      <c r="AA76" s="120" t="n"/>
      <c r="AB76" s="120" t="n"/>
      <c r="AC76" s="120" t="n"/>
      <c r="AD76" s="89" t="n"/>
      <c r="AE76" s="116" t="n"/>
      <c r="AF76" s="97" t="n"/>
      <c r="AG76" s="98">
        <f>SUM(E90+J90+O90+T90+Y90)</f>
        <v/>
      </c>
      <c r="AH76" s="103" t="n"/>
      <c r="AI76" s="97" t="n"/>
      <c r="AJ76" s="98">
        <f>AE77*AG79</f>
        <v/>
      </c>
      <c r="AK76" s="102" t="n"/>
      <c r="AL76" s="103" t="n"/>
      <c r="AM76" s="97" t="n"/>
      <c r="AN76" s="97" t="n"/>
      <c r="AO76" s="97" t="n"/>
      <c r="AP76" s="97" t="n"/>
      <c r="AQ76" s="97" t="n"/>
    </row>
    <row r="77" ht="21" customHeight="1" s="85">
      <c r="A77" s="121" t="n"/>
      <c r="B77" s="121" t="n"/>
      <c r="C77" s="121" t="n"/>
      <c r="D77" s="121" t="n"/>
      <c r="E77" s="121">
        <f>B77*C77</f>
        <v/>
      </c>
      <c r="F77" s="93" t="n"/>
      <c r="G77" s="121" t="n"/>
      <c r="H77" s="121" t="n"/>
      <c r="I77" s="121" t="n"/>
      <c r="J77" s="121">
        <f>G77*H77</f>
        <v/>
      </c>
      <c r="K77" s="93" t="n"/>
      <c r="L77" s="121" t="n"/>
      <c r="M77" s="121" t="n"/>
      <c r="N77" s="121" t="n"/>
      <c r="O77" s="121">
        <f>L77*M77</f>
        <v/>
      </c>
      <c r="P77" s="93" t="n"/>
      <c r="Q77" s="121" t="n"/>
      <c r="R77" s="121" t="n"/>
      <c r="S77" s="121" t="n"/>
      <c r="T77" s="121">
        <f>Q77*R77</f>
        <v/>
      </c>
      <c r="U77" s="93" t="n"/>
      <c r="V77" s="121" t="n"/>
      <c r="W77" s="121" t="n"/>
      <c r="X77" s="121" t="n"/>
      <c r="Y77" s="121">
        <f>V77*W77</f>
        <v/>
      </c>
      <c r="Z77" s="93" t="n"/>
      <c r="AA77" s="122">
        <f>IFERROR(((I77-D77)/D77)*100,"")</f>
        <v/>
      </c>
      <c r="AB77" s="122">
        <f>IFERROR(((N77-D77)/D77)*100,"")</f>
        <v/>
      </c>
      <c r="AC77" s="122">
        <f>IFERROR(((S77-D77)/D77)*100,"")</f>
        <v/>
      </c>
      <c r="AD77" s="122">
        <f>IFERROR(((X77-D77)/D77)*100,"")</f>
        <v/>
      </c>
      <c r="AE77" s="123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</row>
    <row r="78" ht="21" customHeight="1" s="85">
      <c r="A78" s="124" t="inlineStr">
        <is>
          <t>Desenvolvimento Livre</t>
        </is>
      </c>
      <c r="B78" s="124" t="n"/>
      <c r="C78" s="124" t="n"/>
      <c r="D78" s="124" t="n"/>
      <c r="E78" s="124">
        <f>B78*C78</f>
        <v/>
      </c>
      <c r="F78" s="93" t="n"/>
      <c r="G78" s="124" t="n"/>
      <c r="H78" s="124" t="n"/>
      <c r="I78" s="124" t="n"/>
      <c r="J78" s="124">
        <f>G78*H78</f>
        <v/>
      </c>
      <c r="K78" s="93" t="n"/>
      <c r="L78" s="124" t="n"/>
      <c r="M78" s="124" t="n"/>
      <c r="N78" s="124" t="n"/>
      <c r="O78" s="124">
        <f>L78*M78</f>
        <v/>
      </c>
      <c r="P78" s="93" t="n"/>
      <c r="Q78" s="124" t="n"/>
      <c r="R78" s="124" t="n"/>
      <c r="S78" s="124" t="n"/>
      <c r="T78" s="124">
        <f>Q78*R78</f>
        <v/>
      </c>
      <c r="U78" s="93" t="n"/>
      <c r="V78" s="124" t="n"/>
      <c r="W78" s="124" t="n"/>
      <c r="X78" s="124" t="n"/>
      <c r="Y78" s="124">
        <f>V78*W78</f>
        <v/>
      </c>
      <c r="Z78" s="93" t="n"/>
      <c r="AA78" s="125">
        <f>IFERROR(((I78-D78)/D78)*100,"")</f>
        <v/>
      </c>
      <c r="AB78" s="125">
        <f>IFERROR(((N78-D78)/D78)*100,"")</f>
        <v/>
      </c>
      <c r="AC78" s="125">
        <f>IFERROR(((S78-D78)/D78)*100,"")</f>
        <v/>
      </c>
      <c r="AD78" s="125">
        <f>IFERROR(((X78-D78)/D78)*100,"")</f>
        <v/>
      </c>
      <c r="AE78" s="126" t="n"/>
      <c r="AF78" s="97" t="n"/>
      <c r="AG78" s="113" t="inlineStr">
        <is>
          <t>Tempo total sessão (min)</t>
        </is>
      </c>
      <c r="AH78" s="115" t="n"/>
      <c r="AI78" s="115" t="n"/>
      <c r="AJ78" s="115" t="n"/>
      <c r="AK78" s="115" t="n"/>
      <c r="AL78" s="114" t="n"/>
      <c r="AM78" s="97" t="n"/>
      <c r="AN78" s="97" t="n"/>
      <c r="AO78" s="97" t="n"/>
      <c r="AP78" s="97" t="n"/>
      <c r="AQ78" s="97" t="n"/>
    </row>
    <row r="79" ht="21" customHeight="1" s="85">
      <c r="A79" s="121" t="inlineStr">
        <is>
          <t>Remada Alta Aberta até 90°</t>
        </is>
      </c>
      <c r="B79" s="121" t="n"/>
      <c r="C79" s="121" t="n"/>
      <c r="D79" s="121" t="n"/>
      <c r="E79" s="121">
        <f>B79*C79</f>
        <v/>
      </c>
      <c r="F79" s="93" t="n"/>
      <c r="G79" s="121" t="n"/>
      <c r="H79" s="121" t="n"/>
      <c r="I79" s="121" t="n"/>
      <c r="J79" s="121">
        <f>G79*H79</f>
        <v/>
      </c>
      <c r="K79" s="93" t="n"/>
      <c r="L79" s="121" t="n"/>
      <c r="M79" s="121" t="n"/>
      <c r="N79" s="121" t="n"/>
      <c r="O79" s="121">
        <f>L79*M79</f>
        <v/>
      </c>
      <c r="P79" s="93" t="n"/>
      <c r="Q79" s="121" t="n"/>
      <c r="R79" s="121" t="n"/>
      <c r="S79" s="121" t="n"/>
      <c r="T79" s="121">
        <f>Q79*R79</f>
        <v/>
      </c>
      <c r="U79" s="93" t="n"/>
      <c r="V79" s="121" t="n"/>
      <c r="W79" s="121" t="n"/>
      <c r="X79" s="121" t="n"/>
      <c r="Y79" s="121">
        <f>V79*W79</f>
        <v/>
      </c>
      <c r="Z79" s="93" t="n"/>
      <c r="AA79" s="122">
        <f>IFERROR(((I79-D79)/D79)*100,"")</f>
        <v/>
      </c>
      <c r="AB79" s="122">
        <f>IFERROR(((N79-D79)/D79)*100,"")</f>
        <v/>
      </c>
      <c r="AC79" s="122">
        <f>IFERROR(((S79-D79)/D79)*100,"")</f>
        <v/>
      </c>
      <c r="AD79" s="122">
        <f>IFERROR(((X79-D79)/D79)*100,"")</f>
        <v/>
      </c>
      <c r="AE79" s="126" t="n"/>
      <c r="AF79" s="97" t="n"/>
      <c r="AG79" s="127" t="n"/>
      <c r="AH79" s="128" t="n"/>
      <c r="AI79" s="128" t="n"/>
      <c r="AJ79" s="128" t="n"/>
      <c r="AK79" s="128" t="n"/>
      <c r="AL79" s="129" t="n"/>
      <c r="AM79" s="97" t="n"/>
      <c r="AN79" s="97" t="n"/>
      <c r="AO79" s="97" t="n"/>
      <c r="AP79" s="97" t="n"/>
      <c r="AQ79" s="97" t="n"/>
    </row>
    <row r="80" ht="21" customHeight="1" s="85">
      <c r="A80" s="124" t="inlineStr">
        <is>
          <t>Elevação Lateral Unilateral Banco 45°</t>
        </is>
      </c>
      <c r="B80" s="124" t="n"/>
      <c r="C80" s="124" t="n"/>
      <c r="D80" s="124" t="n"/>
      <c r="E80" s="124">
        <f>B80*C80</f>
        <v/>
      </c>
      <c r="F80" s="93" t="n"/>
      <c r="G80" s="124" t="n"/>
      <c r="H80" s="124" t="n"/>
      <c r="I80" s="124" t="n"/>
      <c r="J80" s="124">
        <f>G80*H80</f>
        <v/>
      </c>
      <c r="K80" s="93" t="n"/>
      <c r="L80" s="124" t="n"/>
      <c r="M80" s="124" t="n"/>
      <c r="N80" s="124" t="n"/>
      <c r="O80" s="124">
        <f>L80*M80</f>
        <v/>
      </c>
      <c r="P80" s="93" t="n"/>
      <c r="Q80" s="124" t="n"/>
      <c r="R80" s="124" t="n"/>
      <c r="S80" s="124" t="n"/>
      <c r="T80" s="124">
        <f>Q80*R80</f>
        <v/>
      </c>
      <c r="U80" s="93" t="n"/>
      <c r="V80" s="124" t="n"/>
      <c r="W80" s="124" t="n"/>
      <c r="X80" s="124" t="n"/>
      <c r="Y80" s="124">
        <f>V80*W80</f>
        <v/>
      </c>
      <c r="Z80" s="93" t="n"/>
      <c r="AA80" s="125">
        <f>IFERROR(((I80-D80)/D80)*100,"")</f>
        <v/>
      </c>
      <c r="AB80" s="125">
        <f>IFERROR(((N80-D80)/D80)*100,"")</f>
        <v/>
      </c>
      <c r="AC80" s="125">
        <f>IFERROR(((S80-D80)/D80)*100,"")</f>
        <v/>
      </c>
      <c r="AD80" s="125">
        <f>IFERROR(((X80-D80)/D80)*100,"")</f>
        <v/>
      </c>
      <c r="AE80" s="126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</row>
    <row r="81" ht="21" customHeight="1" s="85">
      <c r="A81" s="121" t="inlineStr">
        <is>
          <t>Elevação Lateral Unilateral Polia</t>
        </is>
      </c>
      <c r="B81" s="121" t="n"/>
      <c r="C81" s="121" t="n"/>
      <c r="D81" s="121" t="n"/>
      <c r="E81" s="121">
        <f>B81*C81</f>
        <v/>
      </c>
      <c r="F81" s="93" t="n"/>
      <c r="G81" s="121" t="n"/>
      <c r="H81" s="121" t="n"/>
      <c r="I81" s="121" t="n"/>
      <c r="J81" s="121">
        <f>G81*H81</f>
        <v/>
      </c>
      <c r="K81" s="93" t="n"/>
      <c r="L81" s="121" t="n"/>
      <c r="M81" s="121" t="n"/>
      <c r="N81" s="121" t="n"/>
      <c r="O81" s="121">
        <f>L81*M81</f>
        <v/>
      </c>
      <c r="P81" s="93" t="n"/>
      <c r="Q81" s="121" t="n"/>
      <c r="R81" s="121" t="n"/>
      <c r="S81" s="121" t="n"/>
      <c r="T81" s="121">
        <f>Q81*R81</f>
        <v/>
      </c>
      <c r="U81" s="93" t="n"/>
      <c r="V81" s="121" t="n"/>
      <c r="W81" s="121" t="n"/>
      <c r="X81" s="121" t="n"/>
      <c r="Y81" s="121">
        <f>V81*W81</f>
        <v/>
      </c>
      <c r="Z81" s="93" t="n"/>
      <c r="AA81" s="122">
        <f>IFERROR(((I81-D81)/D81)*100,"")</f>
        <v/>
      </c>
      <c r="AB81" s="122">
        <f>IFERROR(((N81-D81)/D81)*100,"")</f>
        <v/>
      </c>
      <c r="AC81" s="122">
        <f>IFERROR(((S81-D81)/D81)*100,"")</f>
        <v/>
      </c>
      <c r="AD81" s="122">
        <f>IFERROR(((X81-D81)/D81)*100,"")</f>
        <v/>
      </c>
      <c r="AE81" s="126" t="n"/>
      <c r="AF81" s="97" t="n"/>
      <c r="AG81" s="92" t="n"/>
      <c r="AM81" s="97" t="n"/>
      <c r="AN81" s="97" t="n"/>
      <c r="AO81" s="97" t="n"/>
      <c r="AP81" s="97" t="n"/>
      <c r="AQ81" s="97" t="n"/>
    </row>
    <row r="82" ht="21" customHeight="1" s="85">
      <c r="A82" s="124" t="inlineStr">
        <is>
          <t>Elevação Lateral em Pé</t>
        </is>
      </c>
      <c r="B82" s="124" t="n"/>
      <c r="C82" s="124" t="n"/>
      <c r="D82" s="124" t="n"/>
      <c r="E82" s="124">
        <f>B82*C82</f>
        <v/>
      </c>
      <c r="F82" s="93" t="n"/>
      <c r="G82" s="124" t="n"/>
      <c r="H82" s="124" t="n"/>
      <c r="I82" s="124" t="n"/>
      <c r="J82" s="124">
        <f>G82*H82</f>
        <v/>
      </c>
      <c r="K82" s="93" t="n"/>
      <c r="L82" s="124" t="n"/>
      <c r="M82" s="124" t="n"/>
      <c r="N82" s="124" t="n"/>
      <c r="O82" s="124">
        <f>L82*M82</f>
        <v/>
      </c>
      <c r="P82" s="93" t="n"/>
      <c r="Q82" s="124" t="n"/>
      <c r="R82" s="124" t="n"/>
      <c r="S82" s="124" t="n"/>
      <c r="T82" s="124">
        <f>Q82*R82</f>
        <v/>
      </c>
      <c r="U82" s="93" t="n"/>
      <c r="V82" s="124" t="n"/>
      <c r="W82" s="124" t="n"/>
      <c r="X82" s="124" t="n"/>
      <c r="Y82" s="124">
        <f>V82*W82</f>
        <v/>
      </c>
      <c r="Z82" s="93" t="n"/>
      <c r="AA82" s="125">
        <f>IFERROR(((I82-D82)/D82)*100,"")</f>
        <v/>
      </c>
      <c r="AB82" s="125">
        <f>IFERROR(((N82-D82)/D82)*100,"")</f>
        <v/>
      </c>
      <c r="AC82" s="125">
        <f>IFERROR(((S82-D82)/D82)*100,"")</f>
        <v/>
      </c>
      <c r="AD82" s="125">
        <f>IFERROR(((X82-D82)/D82)*100,"")</f>
        <v/>
      </c>
      <c r="AE82" s="126" t="n"/>
      <c r="AF82" s="97" t="n"/>
      <c r="AG82" s="92" t="n"/>
      <c r="AM82" s="97" t="n"/>
      <c r="AN82" s="97" t="n"/>
      <c r="AO82" s="97" t="n"/>
      <c r="AP82" s="97" t="n"/>
      <c r="AQ82" s="97" t="n"/>
    </row>
    <row r="83" ht="21" customHeight="1" s="85">
      <c r="A83" s="121" t="inlineStr">
        <is>
          <t>Encolhimento Smith</t>
        </is>
      </c>
      <c r="B83" s="121" t="n"/>
      <c r="C83" s="121" t="n"/>
      <c r="D83" s="121" t="n"/>
      <c r="E83" s="121">
        <f>B83*C83</f>
        <v/>
      </c>
      <c r="F83" s="93" t="n"/>
      <c r="G83" s="121" t="n"/>
      <c r="H83" s="121" t="n"/>
      <c r="I83" s="121" t="n"/>
      <c r="J83" s="121">
        <f>G83*H83</f>
        <v/>
      </c>
      <c r="K83" s="93" t="n"/>
      <c r="L83" s="121" t="n"/>
      <c r="M83" s="121" t="n"/>
      <c r="N83" s="121" t="n"/>
      <c r="O83" s="121">
        <f>L83*M83</f>
        <v/>
      </c>
      <c r="P83" s="93" t="n"/>
      <c r="Q83" s="121" t="n"/>
      <c r="R83" s="121" t="n"/>
      <c r="S83" s="121" t="n"/>
      <c r="T83" s="121">
        <f>Q83*R83</f>
        <v/>
      </c>
      <c r="U83" s="93" t="n"/>
      <c r="V83" s="121" t="n"/>
      <c r="W83" s="121" t="n"/>
      <c r="X83" s="121" t="n"/>
      <c r="Y83" s="121">
        <f>V83*W83</f>
        <v/>
      </c>
      <c r="Z83" s="93" t="n"/>
      <c r="AA83" s="122">
        <f>IFERROR(((I83-D83)/D83)*100,"")</f>
        <v/>
      </c>
      <c r="AB83" s="122">
        <f>IFERROR(((N83-D83)/D83)*100,"")</f>
        <v/>
      </c>
      <c r="AC83" s="122">
        <f>IFERROR(((S83-D83)/D83)*100,"")</f>
        <v/>
      </c>
      <c r="AD83" s="122">
        <f>IFERROR(((X83-D83)/D83)*100,"")</f>
        <v/>
      </c>
      <c r="AE83" s="126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</row>
    <row r="84" ht="21" customHeight="1" s="85">
      <c r="A84" s="124" t="inlineStr">
        <is>
          <t>Flexão Quadril/Coluna Paralelas</t>
        </is>
      </c>
      <c r="B84" s="124" t="n"/>
      <c r="C84" s="124" t="n"/>
      <c r="D84" s="124" t="n"/>
      <c r="E84" s="124">
        <f>B84*C84</f>
        <v/>
      </c>
      <c r="F84" s="93" t="n"/>
      <c r="G84" s="124" t="n"/>
      <c r="H84" s="124" t="n"/>
      <c r="I84" s="124" t="n"/>
      <c r="J84" s="124">
        <f>G84*H84</f>
        <v/>
      </c>
      <c r="K84" s="93" t="n"/>
      <c r="L84" s="124" t="n"/>
      <c r="M84" s="124" t="n"/>
      <c r="N84" s="124" t="n"/>
      <c r="O84" s="124">
        <f>L84*M84</f>
        <v/>
      </c>
      <c r="P84" s="93" t="n"/>
      <c r="Q84" s="124" t="n"/>
      <c r="R84" s="124" t="n"/>
      <c r="S84" s="124" t="n"/>
      <c r="T84" s="124">
        <f>Q84*R84</f>
        <v/>
      </c>
      <c r="U84" s="93" t="n"/>
      <c r="V84" s="124" t="n"/>
      <c r="W84" s="124" t="n"/>
      <c r="X84" s="124" t="n"/>
      <c r="Y84" s="124">
        <f>V84*W84</f>
        <v/>
      </c>
      <c r="Z84" s="93" t="n"/>
      <c r="AA84" s="125">
        <f>IFERROR(((I84-D84)/D84)*100,"")</f>
        <v/>
      </c>
      <c r="AB84" s="125">
        <f>IFERROR(((N84-D84)/D84)*100,"")</f>
        <v/>
      </c>
      <c r="AC84" s="125">
        <f>IFERROR(((S84-D84)/D84)*100,"")</f>
        <v/>
      </c>
      <c r="AD84" s="125">
        <f>IFERROR(((X84-D84)/D84)*100,"")</f>
        <v/>
      </c>
      <c r="AE84" s="126" t="n"/>
      <c r="AF84" s="97" t="n"/>
      <c r="AG84" s="96" t="n"/>
      <c r="AM84" s="97" t="n"/>
      <c r="AN84" s="97" t="n"/>
      <c r="AO84" s="97" t="n"/>
      <c r="AP84" s="97" t="n"/>
      <c r="AQ84" s="97" t="n"/>
    </row>
    <row r="85" ht="21" customHeight="1" s="85">
      <c r="A85" s="121" t="inlineStr">
        <is>
          <t>Flexão de Coluna Máquina</t>
        </is>
      </c>
      <c r="B85" s="121" t="n"/>
      <c r="C85" s="121" t="n"/>
      <c r="D85" s="121" t="n"/>
      <c r="E85" s="121">
        <f>B85*C85</f>
        <v/>
      </c>
      <c r="F85" s="93" t="n"/>
      <c r="G85" s="121" t="n"/>
      <c r="H85" s="121" t="n"/>
      <c r="I85" s="121" t="n"/>
      <c r="J85" s="121">
        <f>G85*H85</f>
        <v/>
      </c>
      <c r="K85" s="93" t="n"/>
      <c r="L85" s="121" t="n"/>
      <c r="M85" s="121" t="n"/>
      <c r="N85" s="121" t="n"/>
      <c r="O85" s="121">
        <f>L85*M85</f>
        <v/>
      </c>
      <c r="P85" s="93" t="n"/>
      <c r="Q85" s="121" t="n"/>
      <c r="R85" s="121" t="n"/>
      <c r="S85" s="121" t="n"/>
      <c r="T85" s="121">
        <f>Q85*R85</f>
        <v/>
      </c>
      <c r="U85" s="93" t="n"/>
      <c r="V85" s="121" t="n"/>
      <c r="W85" s="121" t="n"/>
      <c r="X85" s="121" t="n"/>
      <c r="Y85" s="121">
        <f>V85*W85</f>
        <v/>
      </c>
      <c r="Z85" s="93" t="n"/>
      <c r="AA85" s="122">
        <f>IFERROR(((I85-D85)/D85)*100,"")</f>
        <v/>
      </c>
      <c r="AB85" s="122">
        <f>IFERROR(((N85-D85)/D85)*100,"")</f>
        <v/>
      </c>
      <c r="AC85" s="122">
        <f>IFERROR(((S85-D85)/D85)*100,"")</f>
        <v/>
      </c>
      <c r="AD85" s="122">
        <f>IFERROR(((X85-D85)/D85)*100,"")</f>
        <v/>
      </c>
      <c r="AE85" s="126" t="n"/>
      <c r="AF85" s="97" t="n"/>
      <c r="AG85" s="93" t="n"/>
      <c r="AM85" s="97" t="n"/>
      <c r="AN85" s="97" t="n"/>
      <c r="AO85" s="97" t="n"/>
      <c r="AP85" s="97" t="n"/>
      <c r="AQ85" s="97" t="n"/>
    </row>
    <row r="86" ht="21" customHeight="1" s="85">
      <c r="A86" s="124" t="n"/>
      <c r="B86" s="124" t="n"/>
      <c r="C86" s="124" t="n"/>
      <c r="D86" s="124" t="n"/>
      <c r="E86" s="124">
        <f>B86*C86</f>
        <v/>
      </c>
      <c r="F86" s="93" t="n"/>
      <c r="G86" s="124" t="n"/>
      <c r="H86" s="124" t="n"/>
      <c r="I86" s="124" t="n"/>
      <c r="J86" s="124">
        <f>G86*H86</f>
        <v/>
      </c>
      <c r="K86" s="93" t="n"/>
      <c r="L86" s="124" t="n"/>
      <c r="M86" s="124" t="n"/>
      <c r="N86" s="124" t="n"/>
      <c r="O86" s="124">
        <f>L86*M86</f>
        <v/>
      </c>
      <c r="P86" s="93" t="n"/>
      <c r="Q86" s="124" t="n"/>
      <c r="R86" s="124" t="n"/>
      <c r="S86" s="124" t="n"/>
      <c r="T86" s="124">
        <f>Q86*R86</f>
        <v/>
      </c>
      <c r="U86" s="93" t="n"/>
      <c r="V86" s="124" t="n"/>
      <c r="W86" s="124" t="n"/>
      <c r="X86" s="124" t="n"/>
      <c r="Y86" s="124">
        <f>V86*W86</f>
        <v/>
      </c>
      <c r="Z86" s="93" t="n"/>
      <c r="AA86" s="125">
        <f>IFERROR(((I86-D86)/D86)*100,"")</f>
        <v/>
      </c>
      <c r="AB86" s="125">
        <f>IFERROR(((N86-D86)/D86)*100,"")</f>
        <v/>
      </c>
      <c r="AC86" s="125">
        <f>IFERROR(((S86-D86)/D86)*100,"")</f>
        <v/>
      </c>
      <c r="AD86" s="125">
        <f>IFERROR(((X86-D86)/D86)*100,"")</f>
        <v/>
      </c>
      <c r="AE86" s="126" t="n"/>
      <c r="AF86" s="97" t="n"/>
      <c r="AG86" s="145" t="n"/>
      <c r="AM86" s="97" t="n"/>
      <c r="AN86" s="97" t="n"/>
      <c r="AO86" s="97" t="n"/>
      <c r="AP86" s="97" t="n"/>
      <c r="AQ86" s="97" t="n"/>
    </row>
    <row r="87" ht="21" customHeight="1" s="85">
      <c r="A87" s="121" t="n"/>
      <c r="B87" s="121" t="n"/>
      <c r="C87" s="121" t="n"/>
      <c r="D87" s="121" t="n"/>
      <c r="E87" s="121">
        <f>B87*C87</f>
        <v/>
      </c>
      <c r="F87" s="93" t="n"/>
      <c r="G87" s="121" t="n"/>
      <c r="H87" s="121" t="n"/>
      <c r="I87" s="121" t="n"/>
      <c r="J87" s="121">
        <f>G87*H87</f>
        <v/>
      </c>
      <c r="K87" s="93" t="n"/>
      <c r="L87" s="121" t="n"/>
      <c r="M87" s="121" t="n"/>
      <c r="N87" s="121" t="n"/>
      <c r="O87" s="121">
        <f>L87*M87</f>
        <v/>
      </c>
      <c r="P87" s="93" t="n"/>
      <c r="Q87" s="121" t="n"/>
      <c r="R87" s="121" t="n"/>
      <c r="S87" s="121" t="n"/>
      <c r="T87" s="121">
        <f>Q87*R87</f>
        <v/>
      </c>
      <c r="U87" s="93" t="n"/>
      <c r="V87" s="121" t="n"/>
      <c r="W87" s="121" t="n"/>
      <c r="X87" s="121" t="n"/>
      <c r="Y87" s="121">
        <f>V87*W87</f>
        <v/>
      </c>
      <c r="Z87" s="93" t="n"/>
      <c r="AA87" s="122">
        <f>IFERROR(((I87-D87)/D87)*100,"")</f>
        <v/>
      </c>
      <c r="AB87" s="122">
        <f>IFERROR(((N87-D87)/D87)*100,"")</f>
        <v/>
      </c>
      <c r="AC87" s="122">
        <f>IFERROR(((S87-D87)/D87)*100,"")</f>
        <v/>
      </c>
      <c r="AD87" s="122">
        <f>IFERROR(((X87-D87)/D87)*100,"")</f>
        <v/>
      </c>
      <c r="AE87" s="126" t="n"/>
      <c r="AF87" s="97" t="n"/>
      <c r="AG87" s="134" t="n"/>
      <c r="AH87" s="134" t="n"/>
      <c r="AJ87" s="134" t="n"/>
      <c r="AK87" s="134" t="n"/>
      <c r="AL87" s="134" t="n"/>
      <c r="AM87" s="97" t="n"/>
      <c r="AN87" s="97" t="n"/>
      <c r="AO87" s="97" t="n"/>
      <c r="AP87" s="97" t="n"/>
      <c r="AQ87" s="97" t="n"/>
    </row>
    <row r="88" ht="21" customHeight="1" s="85">
      <c r="A88" s="124" t="n"/>
      <c r="B88" s="124" t="n"/>
      <c r="C88" s="124" t="n"/>
      <c r="D88" s="124" t="n"/>
      <c r="E88" s="124">
        <f>B88*C88</f>
        <v/>
      </c>
      <c r="F88" s="93" t="n"/>
      <c r="G88" s="124" t="n"/>
      <c r="H88" s="124" t="n"/>
      <c r="I88" s="124" t="n"/>
      <c r="J88" s="124">
        <f>G88*H88</f>
        <v/>
      </c>
      <c r="K88" s="93" t="n"/>
      <c r="L88" s="124" t="n"/>
      <c r="M88" s="124" t="n"/>
      <c r="N88" s="124" t="n"/>
      <c r="O88" s="124">
        <f>L88*M88</f>
        <v/>
      </c>
      <c r="P88" s="93" t="n"/>
      <c r="Q88" s="124" t="n"/>
      <c r="R88" s="124" t="n"/>
      <c r="S88" s="124" t="n"/>
      <c r="T88" s="124">
        <f>Q88*R88</f>
        <v/>
      </c>
      <c r="U88" s="93" t="n"/>
      <c r="V88" s="124" t="n"/>
      <c r="W88" s="124" t="n"/>
      <c r="X88" s="124" t="n"/>
      <c r="Y88" s="124">
        <f>V88*W88</f>
        <v/>
      </c>
      <c r="Z88" s="93" t="n"/>
      <c r="AA88" s="125">
        <f>IFERROR(((I88-D88)/D88)*100,"")</f>
        <v/>
      </c>
      <c r="AB88" s="125">
        <f>IFERROR(((N88-D88)/D88)*100,"")</f>
        <v/>
      </c>
      <c r="AC88" s="125">
        <f>IFERROR(((S88-D88)/D88)*100,"")</f>
        <v/>
      </c>
      <c r="AD88" s="125">
        <f>IFERROR(((X88-D88)/D88)*100,"")</f>
        <v/>
      </c>
      <c r="AE88" s="137" t="n"/>
      <c r="AF88" s="97" t="n"/>
      <c r="AG88" s="92" t="n"/>
      <c r="AH88" s="92" t="n"/>
      <c r="AJ88" s="92" t="n"/>
      <c r="AK88" s="92" t="n"/>
      <c r="AL88" s="92" t="n"/>
      <c r="AM88" s="138">
        <f>AG88*AG87</f>
        <v/>
      </c>
      <c r="AN88" s="138">
        <f>AH88*AH87</f>
        <v/>
      </c>
      <c r="AO88" s="138">
        <f>AJ88*AJ87</f>
        <v/>
      </c>
      <c r="AP88" s="138">
        <f>AK88*AK87</f>
        <v/>
      </c>
      <c r="AQ88" s="138">
        <f>AL88*AL87</f>
        <v/>
      </c>
    </row>
    <row r="89" ht="15.75" customHeight="1" s="85">
      <c r="A89" s="93" t="n"/>
      <c r="B89" s="93" t="n"/>
      <c r="C89" s="93" t="n"/>
      <c r="D89" s="93" t="n"/>
      <c r="E89" s="139" t="inlineStr">
        <is>
          <t>PR</t>
        </is>
      </c>
      <c r="F89" s="140" t="n"/>
      <c r="G89" s="121" t="n"/>
      <c r="H89" s="93" t="n"/>
      <c r="I89" s="93" t="n"/>
      <c r="J89" s="139" t="inlineStr">
        <is>
          <t>PR</t>
        </is>
      </c>
      <c r="K89" s="140" t="n"/>
      <c r="L89" s="121" t="n"/>
      <c r="M89" s="93" t="n"/>
      <c r="N89" s="93" t="n"/>
      <c r="O89" s="139" t="inlineStr">
        <is>
          <t>PR</t>
        </is>
      </c>
      <c r="P89" s="140" t="n"/>
      <c r="Q89" s="121" t="n"/>
      <c r="R89" s="93" t="n"/>
      <c r="S89" s="93" t="n"/>
      <c r="T89" s="139" t="inlineStr">
        <is>
          <t>PR</t>
        </is>
      </c>
      <c r="U89" s="140" t="n"/>
      <c r="V89" s="121" t="n"/>
      <c r="W89" s="93" t="n"/>
      <c r="X89" s="93" t="n"/>
      <c r="Y89" s="93" t="n"/>
      <c r="Z89" s="93" t="n"/>
      <c r="AA89" s="97" t="n"/>
      <c r="AB89" s="97" t="n"/>
      <c r="AC89" s="92" t="inlineStr">
        <is>
          <t>PR-M</t>
        </is>
      </c>
      <c r="AD89" s="97">
        <f>IFERROR(AVERAGE(G89,L89,Q89,V89),"")</f>
        <v/>
      </c>
      <c r="AE89" s="141" t="n"/>
      <c r="AF89" s="97" t="n"/>
      <c r="AG89" s="92" t="n"/>
      <c r="AH89" s="92" t="n"/>
      <c r="AI89" s="92" t="n"/>
      <c r="AJ89" s="92" t="n"/>
      <c r="AK89" s="92" t="n"/>
      <c r="AL89" s="92" t="n"/>
      <c r="AM89" s="138" t="n"/>
      <c r="AN89" s="138" t="n"/>
      <c r="AO89" s="138" t="n"/>
      <c r="AP89" s="138" t="n"/>
      <c r="AQ89" s="138" t="n"/>
    </row>
    <row r="90" ht="15.75" customHeight="1" s="85">
      <c r="A90" s="97" t="n"/>
      <c r="B90" s="93" t="n"/>
      <c r="C90" s="93" t="n"/>
      <c r="D90" s="93" t="n"/>
      <c r="E90" s="142">
        <f>SUM(E77:E88)</f>
        <v/>
      </c>
      <c r="F90" s="142" t="n"/>
      <c r="G90" s="142" t="n"/>
      <c r="H90" s="142" t="n"/>
      <c r="I90" s="142" t="n"/>
      <c r="J90" s="142">
        <f>SUM(J77:J88)</f>
        <v/>
      </c>
      <c r="K90" s="142" t="n"/>
      <c r="L90" s="142" t="n"/>
      <c r="M90" s="142" t="n"/>
      <c r="N90" s="142" t="n"/>
      <c r="O90" s="142">
        <f>SUM(O77:O88)</f>
        <v/>
      </c>
      <c r="P90" s="142" t="n"/>
      <c r="Q90" s="142" t="n"/>
      <c r="R90" s="142" t="n"/>
      <c r="S90" s="142" t="n"/>
      <c r="T90" s="142">
        <f>SUM(T77:T88)</f>
        <v/>
      </c>
      <c r="U90" s="142" t="n"/>
      <c r="V90" s="142" t="n"/>
      <c r="W90" s="142" t="n"/>
      <c r="X90" s="142" t="n"/>
      <c r="Y90" s="142">
        <f>SUM(Y77:Y88)</f>
        <v/>
      </c>
      <c r="Z90" s="142" t="n"/>
      <c r="AA90" s="138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</row>
    <row r="91" ht="15" customHeight="1" s="85">
      <c r="A91" s="97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4" t="inlineStr">
        <is>
          <t>Son</t>
        </is>
      </c>
      <c r="M91" s="94" t="inlineStr">
        <is>
          <t>Estr</t>
        </is>
      </c>
      <c r="N91" s="94" t="inlineStr">
        <is>
          <t>Fad</t>
        </is>
      </c>
      <c r="O91" s="94" t="inlineStr">
        <is>
          <t>Dor</t>
        </is>
      </c>
      <c r="P91" s="93" t="n"/>
      <c r="Q91" s="95" t="inlineStr">
        <is>
          <t>Média</t>
        </is>
      </c>
      <c r="S91" s="93" t="n"/>
      <c r="T91" s="96" t="inlineStr">
        <is>
          <t>Teste de potência</t>
        </is>
      </c>
      <c r="Y91" s="93" t="n"/>
      <c r="Z91" s="93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</row>
    <row r="92" ht="15.75" customHeight="1" s="85">
      <c r="A92" s="98" t="inlineStr">
        <is>
          <t>SÁBADO</t>
        </is>
      </c>
      <c r="B92" s="93" t="n"/>
      <c r="C92" s="99" t="inlineStr">
        <is>
          <t>DATA</t>
        </is>
      </c>
      <c r="D92" s="100" t="n"/>
      <c r="E92" s="143" t="n"/>
      <c r="F92" s="102" t="n"/>
      <c r="G92" s="102" t="n"/>
      <c r="H92" s="103" t="n"/>
      <c r="I92" s="93" t="n"/>
      <c r="J92" s="93" t="n"/>
      <c r="K92" s="93" t="n"/>
      <c r="L92" s="94" t="n"/>
      <c r="M92" s="94" t="n"/>
      <c r="N92" s="94" t="n"/>
      <c r="O92" s="94" t="n"/>
      <c r="P92" s="93" t="n"/>
      <c r="Q92" s="104">
        <f>IFERROR(AVERAGE(L92:O92),"")</f>
        <v/>
      </c>
      <c r="R92" s="103" t="n"/>
      <c r="S92" s="105">
        <f>Q92</f>
        <v/>
      </c>
      <c r="T92" s="121" t="n"/>
      <c r="U92" s="102" t="n"/>
      <c r="V92" s="102" t="n"/>
      <c r="W92" s="102" t="n"/>
      <c r="X92" s="103" t="n"/>
      <c r="Y92" s="93" t="n"/>
      <c r="Z92" s="93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</row>
    <row r="93" ht="15" customHeight="1" s="85">
      <c r="A93" s="106" t="inlineStr">
        <is>
          <t>Exercícios</t>
        </is>
      </c>
      <c r="B93" s="107" t="inlineStr">
        <is>
          <t>série 1</t>
        </is>
      </c>
      <c r="C93" s="102" t="n"/>
      <c r="D93" s="102" t="n"/>
      <c r="E93" s="103" t="n"/>
      <c r="F93" s="96" t="n"/>
      <c r="G93" s="108" t="inlineStr">
        <is>
          <t>série 2</t>
        </is>
      </c>
      <c r="H93" s="100" t="n"/>
      <c r="I93" s="100" t="n"/>
      <c r="J93" s="109" t="n"/>
      <c r="K93" s="96" t="n"/>
      <c r="L93" s="94" t="inlineStr">
        <is>
          <t>série 3</t>
        </is>
      </c>
      <c r="M93" s="102" t="n"/>
      <c r="N93" s="102" t="n"/>
      <c r="O93" s="103" t="n"/>
      <c r="P93" s="96" t="n"/>
      <c r="Q93" s="94" t="inlineStr">
        <is>
          <t>série 4</t>
        </is>
      </c>
      <c r="R93" s="102" t="n"/>
      <c r="S93" s="102" t="n"/>
      <c r="T93" s="103" t="n"/>
      <c r="U93" s="96" t="n"/>
      <c r="V93" s="94" t="inlineStr">
        <is>
          <t>série 5</t>
        </is>
      </c>
      <c r="W93" s="102" t="n"/>
      <c r="X93" s="102" t="n"/>
      <c r="Y93" s="103" t="n"/>
      <c r="Z93" s="96" t="n"/>
      <c r="AA93" s="110" t="inlineStr">
        <is>
          <t>VEL (2x1)</t>
        </is>
      </c>
      <c r="AB93" s="110" t="inlineStr">
        <is>
          <t>VEL (3x1)</t>
        </is>
      </c>
      <c r="AC93" s="110" t="inlineStr">
        <is>
          <t>VEL (4x1)</t>
        </is>
      </c>
      <c r="AD93" s="111" t="inlineStr">
        <is>
          <t>VEL (5x1)</t>
        </is>
      </c>
      <c r="AE93" s="112" t="n"/>
      <c r="AF93" s="97" t="n"/>
      <c r="AG93" s="113" t="inlineStr">
        <is>
          <t>VTT-SESSÃO</t>
        </is>
      </c>
      <c r="AH93" s="114" t="n"/>
      <c r="AI93" s="97" t="n"/>
      <c r="AJ93" s="113" t="inlineStr">
        <is>
          <t>CARGA DE TREINO (U.A)</t>
        </is>
      </c>
      <c r="AK93" s="115" t="n"/>
      <c r="AL93" s="114" t="n"/>
      <c r="AM93" s="97" t="n"/>
      <c r="AN93" s="97" t="n"/>
      <c r="AO93" s="97" t="n"/>
      <c r="AP93" s="97" t="n"/>
      <c r="AQ93" s="97" t="n"/>
    </row>
    <row r="94" ht="15.75" customHeight="1" s="85">
      <c r="A94" s="116" t="n"/>
      <c r="B94" s="117" t="inlineStr">
        <is>
          <t>nº reps</t>
        </is>
      </c>
      <c r="C94" s="117" t="inlineStr">
        <is>
          <t>peso(kg)</t>
        </is>
      </c>
      <c r="D94" s="117" t="inlineStr">
        <is>
          <t>veloc(s)</t>
        </is>
      </c>
      <c r="E94" s="118" t="inlineStr">
        <is>
          <t>VTT (sér)</t>
        </is>
      </c>
      <c r="F94" s="119" t="n"/>
      <c r="G94" s="117" t="inlineStr">
        <is>
          <t>nº reps</t>
        </is>
      </c>
      <c r="H94" s="117" t="inlineStr">
        <is>
          <t>peso(kg)</t>
        </is>
      </c>
      <c r="I94" s="117" t="inlineStr">
        <is>
          <t>veloc(s)</t>
        </is>
      </c>
      <c r="J94" s="118" t="inlineStr">
        <is>
          <t>VTT (sér)</t>
        </is>
      </c>
      <c r="K94" s="119" t="n"/>
      <c r="L94" s="117" t="inlineStr">
        <is>
          <t>nº reps</t>
        </is>
      </c>
      <c r="M94" s="117" t="inlineStr">
        <is>
          <t>peso(kg)</t>
        </is>
      </c>
      <c r="N94" s="117" t="inlineStr">
        <is>
          <t>veloc(s)</t>
        </is>
      </c>
      <c r="O94" s="118" t="inlineStr">
        <is>
          <t>VTT (sér)</t>
        </is>
      </c>
      <c r="P94" s="119" t="n"/>
      <c r="Q94" s="117" t="inlineStr">
        <is>
          <t>nº reps</t>
        </is>
      </c>
      <c r="R94" s="117" t="inlineStr">
        <is>
          <t>peso(kg)</t>
        </is>
      </c>
      <c r="S94" s="117" t="inlineStr">
        <is>
          <t>veloc(s)</t>
        </is>
      </c>
      <c r="T94" s="118" t="inlineStr">
        <is>
          <t>VTT (sér)</t>
        </is>
      </c>
      <c r="U94" s="119" t="n"/>
      <c r="V94" s="117" t="inlineStr">
        <is>
          <t>nº reps</t>
        </is>
      </c>
      <c r="W94" s="117" t="inlineStr">
        <is>
          <t>peso(kg)</t>
        </is>
      </c>
      <c r="X94" s="117" t="inlineStr">
        <is>
          <t>veloc(s)</t>
        </is>
      </c>
      <c r="Y94" s="118" t="inlineStr">
        <is>
          <t>VTT (sér)</t>
        </is>
      </c>
      <c r="Z94" s="119" t="n"/>
      <c r="AA94" s="120" t="n"/>
      <c r="AB94" s="120" t="n"/>
      <c r="AC94" s="120" t="n"/>
      <c r="AD94" s="89" t="n"/>
      <c r="AE94" s="116" t="n"/>
      <c r="AF94" s="97" t="n"/>
      <c r="AG94" s="98">
        <f>SUM(E108+J108+O108+T108+Y108)</f>
        <v/>
      </c>
      <c r="AH94" s="103" t="n"/>
      <c r="AI94" s="97" t="n"/>
      <c r="AJ94" s="98">
        <f>AE95*AG97</f>
        <v/>
      </c>
      <c r="AK94" s="102" t="n"/>
      <c r="AL94" s="103" t="n"/>
      <c r="AM94" s="97" t="n"/>
      <c r="AN94" s="97" t="n"/>
      <c r="AO94" s="97" t="n"/>
      <c r="AP94" s="97" t="n"/>
      <c r="AQ94" s="97" t="n"/>
    </row>
    <row r="95" ht="21" customHeight="1" s="85">
      <c r="A95" s="121" t="n"/>
      <c r="B95" s="121" t="n"/>
      <c r="C95" s="121" t="n"/>
      <c r="D95" s="121" t="n"/>
      <c r="E95" s="121">
        <f>B95*C95</f>
        <v/>
      </c>
      <c r="F95" s="93" t="n"/>
      <c r="G95" s="121" t="n"/>
      <c r="H95" s="121" t="n"/>
      <c r="I95" s="121" t="n"/>
      <c r="J95" s="121">
        <f>G95*H95</f>
        <v/>
      </c>
      <c r="K95" s="93" t="n"/>
      <c r="L95" s="121" t="n"/>
      <c r="M95" s="121" t="n"/>
      <c r="N95" s="121" t="n"/>
      <c r="O95" s="121">
        <f>L95*M95</f>
        <v/>
      </c>
      <c r="P95" s="93" t="n"/>
      <c r="Q95" s="121" t="n"/>
      <c r="R95" s="121" t="n"/>
      <c r="S95" s="121" t="n"/>
      <c r="T95" s="121">
        <f>Q95*R95</f>
        <v/>
      </c>
      <c r="U95" s="93" t="n"/>
      <c r="V95" s="121" t="n"/>
      <c r="W95" s="121" t="n"/>
      <c r="X95" s="121" t="n"/>
      <c r="Y95" s="121">
        <f>V95*W95</f>
        <v/>
      </c>
      <c r="Z95" s="93" t="n"/>
      <c r="AA95" s="122">
        <f>IFERROR(((I95-D95)/D95)*100,"")</f>
        <v/>
      </c>
      <c r="AB95" s="122">
        <f>IFERROR(((N95-D95)/D95)*100,"")</f>
        <v/>
      </c>
      <c r="AC95" s="122">
        <f>IFERROR(((S95-D95)/D95)*100,"")</f>
        <v/>
      </c>
      <c r="AD95" s="122">
        <f>IFERROR(((X95-D95)/D95)*100,"")</f>
        <v/>
      </c>
      <c r="AE95" s="123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</row>
    <row r="96" ht="21" customHeight="1" s="85">
      <c r="A96" s="124" t="inlineStr">
        <is>
          <t>Rosca Direta Barra W</t>
        </is>
      </c>
      <c r="B96" s="124" t="n"/>
      <c r="C96" s="124" t="n"/>
      <c r="D96" s="124" t="n"/>
      <c r="E96" s="124">
        <f>B96*C96</f>
        <v/>
      </c>
      <c r="F96" s="93" t="n"/>
      <c r="G96" s="124" t="n"/>
      <c r="H96" s="124" t="n"/>
      <c r="I96" s="124" t="n"/>
      <c r="J96" s="124">
        <f>G96*H96</f>
        <v/>
      </c>
      <c r="K96" s="93" t="n"/>
      <c r="L96" s="124" t="n"/>
      <c r="M96" s="124" t="n"/>
      <c r="N96" s="124" t="n"/>
      <c r="O96" s="124">
        <f>L96*M96</f>
        <v/>
      </c>
      <c r="P96" s="93" t="n"/>
      <c r="Q96" s="124" t="n"/>
      <c r="R96" s="124" t="n"/>
      <c r="S96" s="124" t="n"/>
      <c r="T96" s="124">
        <f>Q96*R96</f>
        <v/>
      </c>
      <c r="U96" s="93" t="n"/>
      <c r="V96" s="124" t="n"/>
      <c r="W96" s="124" t="n"/>
      <c r="X96" s="124" t="n"/>
      <c r="Y96" s="124">
        <f>V96*W96</f>
        <v/>
      </c>
      <c r="Z96" s="93" t="n"/>
      <c r="AA96" s="125">
        <f>IFERROR(((I96-D96)/D96)*100,"")</f>
        <v/>
      </c>
      <c r="AB96" s="125">
        <f>IFERROR(((N96-D96)/D96)*100,"")</f>
        <v/>
      </c>
      <c r="AC96" s="125">
        <f>IFERROR(((S96-D96)/D96)*100,"")</f>
        <v/>
      </c>
      <c r="AD96" s="125">
        <f>IFERROR(((X96-D96)/D96)*100,"")</f>
        <v/>
      </c>
      <c r="AE96" s="126" t="n"/>
      <c r="AF96" s="97" t="n"/>
      <c r="AG96" s="113" t="inlineStr">
        <is>
          <t>Tempo total sessão (min)</t>
        </is>
      </c>
      <c r="AH96" s="115" t="n"/>
      <c r="AI96" s="115" t="n"/>
      <c r="AJ96" s="115" t="n"/>
      <c r="AK96" s="115" t="n"/>
      <c r="AL96" s="114" t="n"/>
      <c r="AM96" s="97" t="n"/>
      <c r="AN96" s="97" t="n"/>
      <c r="AO96" s="97" t="n"/>
      <c r="AP96" s="97" t="n"/>
      <c r="AQ96" s="97" t="n"/>
    </row>
    <row r="97" ht="21" customHeight="1" s="85">
      <c r="A97" s="121" t="inlineStr">
        <is>
          <t>Rosca Sentado Máquina</t>
        </is>
      </c>
      <c r="B97" s="121" t="n"/>
      <c r="C97" s="121" t="n"/>
      <c r="D97" s="121" t="n"/>
      <c r="E97" s="121">
        <f>B97*C97</f>
        <v/>
      </c>
      <c r="F97" s="93" t="n"/>
      <c r="G97" s="121" t="n"/>
      <c r="H97" s="121" t="n"/>
      <c r="I97" s="121" t="n"/>
      <c r="J97" s="121">
        <f>G97*H97</f>
        <v/>
      </c>
      <c r="K97" s="93" t="n"/>
      <c r="L97" s="121" t="n"/>
      <c r="M97" s="121" t="n"/>
      <c r="N97" s="121" t="n"/>
      <c r="O97" s="121">
        <f>L97*M97</f>
        <v/>
      </c>
      <c r="P97" s="93" t="n"/>
      <c r="Q97" s="121" t="n"/>
      <c r="R97" s="121" t="n"/>
      <c r="S97" s="121" t="n"/>
      <c r="T97" s="121">
        <f>Q97*R97</f>
        <v/>
      </c>
      <c r="U97" s="93" t="n"/>
      <c r="V97" s="121" t="n"/>
      <c r="W97" s="121" t="n"/>
      <c r="X97" s="121" t="n"/>
      <c r="Y97" s="121">
        <f>V97*W97</f>
        <v/>
      </c>
      <c r="Z97" s="93" t="n"/>
      <c r="AA97" s="122">
        <f>IFERROR(((I97-D97)/D97)*100,"")</f>
        <v/>
      </c>
      <c r="AB97" s="122">
        <f>IFERROR(((N97-D97)/D97)*100,"")</f>
        <v/>
      </c>
      <c r="AC97" s="122">
        <f>IFERROR(((S97-D97)/D97)*100,"")</f>
        <v/>
      </c>
      <c r="AD97" s="122">
        <f>IFERROR(((X97-D97)/D97)*100,"")</f>
        <v/>
      </c>
      <c r="AE97" s="126" t="n"/>
      <c r="AF97" s="97" t="n"/>
      <c r="AG97" s="127" t="n"/>
      <c r="AH97" s="128" t="n"/>
      <c r="AI97" s="128" t="n"/>
      <c r="AJ97" s="128" t="n"/>
      <c r="AK97" s="128" t="n"/>
      <c r="AL97" s="129" t="n"/>
      <c r="AM97" s="97" t="n"/>
      <c r="AN97" s="97" t="n"/>
      <c r="AO97" s="97" t="n"/>
      <c r="AP97" s="97" t="n"/>
      <c r="AQ97" s="97" t="n"/>
    </row>
    <row r="98" ht="21" customHeight="1" s="85">
      <c r="A98" s="124" t="inlineStr">
        <is>
          <t>Rosca Simultâneo 45° + Apoio Tórax 30°</t>
        </is>
      </c>
      <c r="B98" s="124" t="n"/>
      <c r="C98" s="124" t="n"/>
      <c r="D98" s="124" t="n"/>
      <c r="E98" s="124">
        <f>B98*C98</f>
        <v/>
      </c>
      <c r="F98" s="93" t="n"/>
      <c r="G98" s="124" t="n"/>
      <c r="H98" s="124" t="n"/>
      <c r="I98" s="124" t="n"/>
      <c r="J98" s="124">
        <f>G98*H98</f>
        <v/>
      </c>
      <c r="K98" s="93" t="n"/>
      <c r="L98" s="124" t="n"/>
      <c r="M98" s="124" t="n"/>
      <c r="N98" s="124" t="n"/>
      <c r="O98" s="124">
        <f>L98*M98</f>
        <v/>
      </c>
      <c r="P98" s="93" t="n"/>
      <c r="Q98" s="124" t="n"/>
      <c r="R98" s="124" t="n"/>
      <c r="S98" s="124" t="n"/>
      <c r="T98" s="124">
        <f>Q98*R98</f>
        <v/>
      </c>
      <c r="U98" s="93" t="n"/>
      <c r="V98" s="124" t="n"/>
      <c r="W98" s="124" t="n"/>
      <c r="X98" s="124" t="n"/>
      <c r="Y98" s="124">
        <f>V98*W98</f>
        <v/>
      </c>
      <c r="Z98" s="93" t="n"/>
      <c r="AA98" s="125">
        <f>IFERROR(((I98-D98)/D98)*100,"")</f>
        <v/>
      </c>
      <c r="AB98" s="125">
        <f>IFERROR(((N98-D98)/D98)*100,"")</f>
        <v/>
      </c>
      <c r="AC98" s="125">
        <f>IFERROR(((S98-D98)/D98)*100,"")</f>
        <v/>
      </c>
      <c r="AD98" s="125">
        <f>IFERROR(((X98-D98)/D98)*100,"")</f>
        <v/>
      </c>
      <c r="AE98" s="126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</row>
    <row r="99" ht="21" customHeight="1" s="85">
      <c r="A99" s="121" t="inlineStr">
        <is>
          <t>Coice Unilateral</t>
        </is>
      </c>
      <c r="B99" s="121" t="n"/>
      <c r="C99" s="121" t="n"/>
      <c r="D99" s="121" t="n"/>
      <c r="E99" s="121">
        <f>B99*C99</f>
        <v/>
      </c>
      <c r="F99" s="93" t="n"/>
      <c r="G99" s="121" t="n"/>
      <c r="H99" s="121" t="n"/>
      <c r="I99" s="121" t="n"/>
      <c r="J99" s="121">
        <f>G99*H99</f>
        <v/>
      </c>
      <c r="K99" s="93" t="n"/>
      <c r="L99" s="121" t="n"/>
      <c r="M99" s="121" t="n"/>
      <c r="N99" s="121" t="n"/>
      <c r="O99" s="121">
        <f>L99*M99</f>
        <v/>
      </c>
      <c r="P99" s="93" t="n"/>
      <c r="Q99" s="121" t="n"/>
      <c r="R99" s="121" t="n"/>
      <c r="S99" s="121" t="n"/>
      <c r="T99" s="121">
        <f>Q99*R99</f>
        <v/>
      </c>
      <c r="U99" s="93" t="n"/>
      <c r="V99" s="121" t="n"/>
      <c r="W99" s="121" t="n"/>
      <c r="X99" s="121" t="n"/>
      <c r="Y99" s="121">
        <f>V99*W99</f>
        <v/>
      </c>
      <c r="Z99" s="93" t="n"/>
      <c r="AA99" s="122">
        <f>IFERROR(((I99-D99)/D99)*100,"")</f>
        <v/>
      </c>
      <c r="AB99" s="122">
        <f>IFERROR(((N99-D99)/D99)*100,"")</f>
        <v/>
      </c>
      <c r="AC99" s="122">
        <f>IFERROR(((S99-D99)/D99)*100,"")</f>
        <v/>
      </c>
      <c r="AD99" s="122">
        <f>IFERROR(((X99-D99)/D99)*100,"")</f>
        <v/>
      </c>
      <c r="AE99" s="126" t="n"/>
      <c r="AF99" s="97" t="n"/>
      <c r="AG99" s="92" t="n"/>
      <c r="AM99" s="97" t="n"/>
      <c r="AN99" s="97" t="n"/>
      <c r="AO99" s="97" t="n"/>
      <c r="AP99" s="97" t="n"/>
      <c r="AQ99" s="97" t="n"/>
    </row>
    <row r="100" ht="21" customHeight="1" s="85">
      <c r="A100" s="124" t="inlineStr">
        <is>
          <t>Tríceps Pulley Pronado</t>
        </is>
      </c>
      <c r="B100" s="124" t="n"/>
      <c r="C100" s="124" t="n"/>
      <c r="D100" s="124" t="n"/>
      <c r="E100" s="124">
        <f>B100*C100</f>
        <v/>
      </c>
      <c r="F100" s="93" t="n"/>
      <c r="G100" s="124" t="n"/>
      <c r="H100" s="124" t="n"/>
      <c r="I100" s="124" t="n"/>
      <c r="J100" s="124">
        <f>G100*H100</f>
        <v/>
      </c>
      <c r="K100" s="93" t="n"/>
      <c r="L100" s="124" t="n"/>
      <c r="M100" s="124" t="n"/>
      <c r="N100" s="124" t="n"/>
      <c r="O100" s="124">
        <f>L100*M100</f>
        <v/>
      </c>
      <c r="P100" s="93" t="n"/>
      <c r="Q100" s="124" t="n"/>
      <c r="R100" s="124" t="n"/>
      <c r="S100" s="124" t="n"/>
      <c r="T100" s="124">
        <f>Q100*R100</f>
        <v/>
      </c>
      <c r="U100" s="93" t="n"/>
      <c r="V100" s="124" t="n"/>
      <c r="W100" s="124" t="n"/>
      <c r="X100" s="124" t="n"/>
      <c r="Y100" s="124">
        <f>V100*W100</f>
        <v/>
      </c>
      <c r="Z100" s="93" t="n"/>
      <c r="AA100" s="125">
        <f>IFERROR(((I100-D100)/D100)*100,"")</f>
        <v/>
      </c>
      <c r="AB100" s="125">
        <f>IFERROR(((N100-D100)/D100)*100,"")</f>
        <v/>
      </c>
      <c r="AC100" s="125">
        <f>IFERROR(((S100-D100)/D100)*100,"")</f>
        <v/>
      </c>
      <c r="AD100" s="125">
        <f>IFERROR(((X100-D100)/D100)*100,"")</f>
        <v/>
      </c>
      <c r="AE100" s="126" t="n"/>
      <c r="AF100" s="97" t="n"/>
      <c r="AG100" s="92" t="n"/>
      <c r="AM100" s="97" t="n"/>
      <c r="AN100" s="97" t="n"/>
      <c r="AO100" s="97" t="n"/>
      <c r="AP100" s="97" t="n"/>
      <c r="AQ100" s="97" t="n"/>
    </row>
    <row r="101" ht="21" customHeight="1" s="85">
      <c r="A101" s="121" t="inlineStr">
        <is>
          <t>Francês Corda + Testa Corda</t>
        </is>
      </c>
      <c r="B101" s="121" t="n"/>
      <c r="C101" s="121" t="n"/>
      <c r="D101" s="121" t="n"/>
      <c r="E101" s="121">
        <f>B101*C101</f>
        <v/>
      </c>
      <c r="F101" s="93" t="n"/>
      <c r="G101" s="121" t="n"/>
      <c r="H101" s="121" t="n"/>
      <c r="I101" s="121" t="n"/>
      <c r="J101" s="121">
        <f>G101*H101</f>
        <v/>
      </c>
      <c r="K101" s="93" t="n"/>
      <c r="L101" s="121" t="n"/>
      <c r="M101" s="121" t="n"/>
      <c r="N101" s="121" t="n"/>
      <c r="O101" s="121">
        <f>L101*M101</f>
        <v/>
      </c>
      <c r="P101" s="93" t="n"/>
      <c r="Q101" s="121" t="n"/>
      <c r="R101" s="121" t="n"/>
      <c r="S101" s="121" t="n"/>
      <c r="T101" s="121">
        <f>Q101*R101</f>
        <v/>
      </c>
      <c r="U101" s="93" t="n"/>
      <c r="V101" s="121" t="n"/>
      <c r="W101" s="121" t="n"/>
      <c r="X101" s="121" t="n"/>
      <c r="Y101" s="121">
        <f>V101*W101</f>
        <v/>
      </c>
      <c r="Z101" s="93" t="n"/>
      <c r="AA101" s="122">
        <f>IFERROR(((I101-D101)/D101)*100,"")</f>
        <v/>
      </c>
      <c r="AB101" s="122">
        <f>IFERROR(((N101-D101)/D101)*100,"")</f>
        <v/>
      </c>
      <c r="AC101" s="122">
        <f>IFERROR(((S101-D101)/D101)*100,"")</f>
        <v/>
      </c>
      <c r="AD101" s="122">
        <f>IFERROR(((X101-D101)/D101)*100,"")</f>
        <v/>
      </c>
      <c r="AE101" s="126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</row>
    <row r="102" ht="21" customHeight="1" s="85">
      <c r="A102" s="124" t="inlineStr">
        <is>
          <t>Extensão Coluna Banco Eretor</t>
        </is>
      </c>
      <c r="B102" s="124" t="n"/>
      <c r="C102" s="124" t="n"/>
      <c r="D102" s="124" t="n"/>
      <c r="E102" s="124">
        <f>B102*C102</f>
        <v/>
      </c>
      <c r="F102" s="93" t="n"/>
      <c r="G102" s="124" t="n"/>
      <c r="H102" s="124" t="n"/>
      <c r="I102" s="124" t="n"/>
      <c r="J102" s="124">
        <f>G102*H102</f>
        <v/>
      </c>
      <c r="K102" s="93" t="n"/>
      <c r="L102" s="124" t="n"/>
      <c r="M102" s="124" t="n"/>
      <c r="N102" s="124" t="n"/>
      <c r="O102" s="124">
        <f>L102*M102</f>
        <v/>
      </c>
      <c r="P102" s="93" t="n"/>
      <c r="Q102" s="124" t="n"/>
      <c r="R102" s="124" t="n"/>
      <c r="S102" s="124" t="n"/>
      <c r="T102" s="124">
        <f>Q102*R102</f>
        <v/>
      </c>
      <c r="U102" s="93" t="n"/>
      <c r="V102" s="124" t="n"/>
      <c r="W102" s="124" t="n"/>
      <c r="X102" s="124" t="n"/>
      <c r="Y102" s="124">
        <f>V102*W102</f>
        <v/>
      </c>
      <c r="Z102" s="93" t="n"/>
      <c r="AA102" s="125">
        <f>IFERROR(((I102-D102)/D102)*100,"")</f>
        <v/>
      </c>
      <c r="AB102" s="125">
        <f>IFERROR(((N102-D102)/D102)*100,"")</f>
        <v/>
      </c>
      <c r="AC102" s="125">
        <f>IFERROR(((S102-D102)/D102)*100,"")</f>
        <v/>
      </c>
      <c r="AD102" s="125">
        <f>IFERROR(((X102-D102)/D102)*100,"")</f>
        <v/>
      </c>
      <c r="AE102" s="126" t="n"/>
      <c r="AF102" s="97" t="n"/>
      <c r="AG102" s="96" t="n"/>
      <c r="AM102" s="97" t="n"/>
      <c r="AN102" s="97" t="n"/>
      <c r="AO102" s="97" t="n"/>
      <c r="AP102" s="97" t="n"/>
      <c r="AQ102" s="97" t="n"/>
    </row>
    <row r="103" ht="21" customHeight="1" s="85">
      <c r="A103" s="121" t="n"/>
      <c r="B103" s="121" t="n"/>
      <c r="C103" s="121" t="n"/>
      <c r="D103" s="121" t="n"/>
      <c r="E103" s="121">
        <f>B103*C103</f>
        <v/>
      </c>
      <c r="F103" s="93" t="n"/>
      <c r="G103" s="121" t="n"/>
      <c r="H103" s="121" t="n"/>
      <c r="I103" s="121" t="n"/>
      <c r="J103" s="121">
        <f>G103*H103</f>
        <v/>
      </c>
      <c r="K103" s="93" t="n"/>
      <c r="L103" s="121" t="n"/>
      <c r="M103" s="121" t="n"/>
      <c r="N103" s="121" t="n"/>
      <c r="O103" s="121">
        <f>L103*M103</f>
        <v/>
      </c>
      <c r="P103" s="93" t="n"/>
      <c r="Q103" s="121" t="n"/>
      <c r="R103" s="121" t="n"/>
      <c r="S103" s="121" t="n"/>
      <c r="T103" s="121">
        <f>Q103*R103</f>
        <v/>
      </c>
      <c r="U103" s="93" t="n"/>
      <c r="V103" s="121" t="n"/>
      <c r="W103" s="121" t="n"/>
      <c r="X103" s="121" t="n"/>
      <c r="Y103" s="121">
        <f>V103*W103</f>
        <v/>
      </c>
      <c r="Z103" s="93" t="n"/>
      <c r="AA103" s="122">
        <f>IFERROR(((I103-D103)/D103)*100,"")</f>
        <v/>
      </c>
      <c r="AB103" s="122">
        <f>IFERROR(((N103-D103)/D103)*100,"")</f>
        <v/>
      </c>
      <c r="AC103" s="122">
        <f>IFERROR(((S103-D103)/D103)*100,"")</f>
        <v/>
      </c>
      <c r="AD103" s="122">
        <f>IFERROR(((X103-D103)/D103)*100,"")</f>
        <v/>
      </c>
      <c r="AE103" s="126" t="n"/>
      <c r="AF103" s="97" t="n"/>
      <c r="AG103" s="93" t="n"/>
      <c r="AM103" s="97" t="n"/>
      <c r="AN103" s="97" t="n"/>
      <c r="AO103" s="97" t="n"/>
      <c r="AP103" s="97" t="n"/>
      <c r="AQ103" s="97" t="n"/>
    </row>
    <row r="104" ht="21" customHeight="1" s="85">
      <c r="A104" s="124" t="n"/>
      <c r="B104" s="124" t="n"/>
      <c r="C104" s="124" t="n"/>
      <c r="D104" s="124" t="n"/>
      <c r="E104" s="124">
        <f>B104*C104</f>
        <v/>
      </c>
      <c r="F104" s="93" t="n"/>
      <c r="G104" s="124" t="n"/>
      <c r="H104" s="124" t="n"/>
      <c r="I104" s="124" t="n"/>
      <c r="J104" s="124">
        <f>G104*H104</f>
        <v/>
      </c>
      <c r="K104" s="93" t="n"/>
      <c r="L104" s="124" t="n"/>
      <c r="M104" s="124" t="n"/>
      <c r="N104" s="124" t="n"/>
      <c r="O104" s="124">
        <f>L104*M104</f>
        <v/>
      </c>
      <c r="P104" s="93" t="n"/>
      <c r="Q104" s="124" t="n"/>
      <c r="R104" s="124" t="n"/>
      <c r="S104" s="124" t="n"/>
      <c r="T104" s="124">
        <f>Q104*R104</f>
        <v/>
      </c>
      <c r="U104" s="93" t="n"/>
      <c r="V104" s="124" t="n"/>
      <c r="W104" s="124" t="n"/>
      <c r="X104" s="124" t="n"/>
      <c r="Y104" s="124">
        <f>V104*W104</f>
        <v/>
      </c>
      <c r="Z104" s="93" t="n"/>
      <c r="AA104" s="125">
        <f>IFERROR(((I104-D104)/D104)*100,"")</f>
        <v/>
      </c>
      <c r="AB104" s="125">
        <f>IFERROR(((N104-D104)/D104)*100,"")</f>
        <v/>
      </c>
      <c r="AC104" s="125">
        <f>IFERROR(((S104-D104)/D104)*100,"")</f>
        <v/>
      </c>
      <c r="AD104" s="125">
        <f>IFERROR(((X104-D104)/D104)*100,"")</f>
        <v/>
      </c>
      <c r="AE104" s="126" t="n"/>
      <c r="AF104" s="97" t="n"/>
      <c r="AG104" s="145" t="n"/>
      <c r="AM104" s="97" t="n"/>
      <c r="AN104" s="97" t="n"/>
      <c r="AO104" s="97" t="n"/>
      <c r="AP104" s="97" t="n"/>
      <c r="AQ104" s="97" t="n"/>
    </row>
    <row r="105" ht="21" customHeight="1" s="85">
      <c r="A105" s="121" t="n"/>
      <c r="B105" s="121" t="n"/>
      <c r="C105" s="121" t="n"/>
      <c r="D105" s="121" t="n"/>
      <c r="E105" s="121">
        <f>B105*C105</f>
        <v/>
      </c>
      <c r="F105" s="93" t="n"/>
      <c r="G105" s="121" t="n"/>
      <c r="H105" s="121" t="n"/>
      <c r="I105" s="121" t="n"/>
      <c r="J105" s="121">
        <f>G105*H105</f>
        <v/>
      </c>
      <c r="K105" s="93" t="n"/>
      <c r="L105" s="121" t="n"/>
      <c r="M105" s="121" t="n"/>
      <c r="N105" s="121" t="n"/>
      <c r="O105" s="121">
        <f>L105*M105</f>
        <v/>
      </c>
      <c r="P105" s="93" t="n"/>
      <c r="Q105" s="121" t="n"/>
      <c r="R105" s="121" t="n"/>
      <c r="S105" s="121" t="n"/>
      <c r="T105" s="121">
        <f>Q105*R105</f>
        <v/>
      </c>
      <c r="U105" s="93" t="n"/>
      <c r="V105" s="121" t="n"/>
      <c r="W105" s="121" t="n"/>
      <c r="X105" s="121" t="n"/>
      <c r="Y105" s="121">
        <f>V105*W105</f>
        <v/>
      </c>
      <c r="Z105" s="93" t="n"/>
      <c r="AA105" s="122">
        <f>IFERROR(((I105-D105)/D105)*100,"")</f>
        <v/>
      </c>
      <c r="AB105" s="122">
        <f>IFERROR(((N105-D105)/D105)*100,"")</f>
        <v/>
      </c>
      <c r="AC105" s="122">
        <f>IFERROR(((S105-D105)/D105)*100,"")</f>
        <v/>
      </c>
      <c r="AD105" s="122">
        <f>IFERROR(((X105-D105)/D105)*100,"")</f>
        <v/>
      </c>
      <c r="AE105" s="126" t="n"/>
      <c r="AF105" s="97" t="n"/>
      <c r="AG105" s="134" t="n"/>
      <c r="AH105" s="134" t="n"/>
      <c r="AJ105" s="134" t="n"/>
      <c r="AK105" s="134" t="n"/>
      <c r="AL105" s="134" t="n"/>
      <c r="AM105" s="97" t="n"/>
      <c r="AN105" s="97" t="n"/>
      <c r="AO105" s="97" t="n"/>
      <c r="AP105" s="97" t="n"/>
      <c r="AQ105" s="97" t="n"/>
    </row>
    <row r="106" ht="21" customHeight="1" s="85">
      <c r="A106" s="124" t="n"/>
      <c r="B106" s="124" t="n"/>
      <c r="C106" s="124" t="n"/>
      <c r="D106" s="124" t="n"/>
      <c r="E106" s="124">
        <f>B106*C106</f>
        <v/>
      </c>
      <c r="F106" s="93" t="n"/>
      <c r="G106" s="124" t="n"/>
      <c r="H106" s="124" t="n"/>
      <c r="I106" s="124" t="n"/>
      <c r="J106" s="124">
        <f>G106*H106</f>
        <v/>
      </c>
      <c r="K106" s="93" t="n"/>
      <c r="L106" s="124" t="n"/>
      <c r="M106" s="124" t="n"/>
      <c r="N106" s="124" t="n"/>
      <c r="O106" s="124">
        <f>L106*M106</f>
        <v/>
      </c>
      <c r="P106" s="93" t="n"/>
      <c r="Q106" s="124" t="n"/>
      <c r="R106" s="124" t="n"/>
      <c r="S106" s="124" t="n"/>
      <c r="T106" s="124">
        <f>Q106*R106</f>
        <v/>
      </c>
      <c r="U106" s="93" t="n"/>
      <c r="V106" s="124" t="n"/>
      <c r="W106" s="124" t="n"/>
      <c r="X106" s="124" t="n"/>
      <c r="Y106" s="124">
        <f>V106*W106</f>
        <v/>
      </c>
      <c r="Z106" s="93" t="n"/>
      <c r="AA106" s="125">
        <f>IFERROR(((I106-D106)/D106)*100,"")</f>
        <v/>
      </c>
      <c r="AB106" s="125">
        <f>IFERROR(((N106-D106)/D106)*100,"")</f>
        <v/>
      </c>
      <c r="AC106" s="125">
        <f>IFERROR(((S106-D106)/D106)*100,"")</f>
        <v/>
      </c>
      <c r="AD106" s="125">
        <f>IFERROR(((X106-D106)/D106)*100,"")</f>
        <v/>
      </c>
      <c r="AE106" s="137" t="n"/>
      <c r="AF106" s="97" t="n"/>
      <c r="AG106" s="92" t="n"/>
      <c r="AH106" s="92" t="n"/>
      <c r="AJ106" s="92" t="n"/>
      <c r="AK106" s="92" t="n"/>
      <c r="AL106" s="92" t="n"/>
      <c r="AM106" s="138">
        <f>AG106*AG105</f>
        <v/>
      </c>
      <c r="AN106" s="138">
        <f>AH106*AH105</f>
        <v/>
      </c>
      <c r="AO106" s="138">
        <f>AJ106*AJ105</f>
        <v/>
      </c>
      <c r="AP106" s="138">
        <f>AK106*AK105</f>
        <v/>
      </c>
      <c r="AQ106" s="138">
        <f>AL106*AL105</f>
        <v/>
      </c>
    </row>
    <row r="107" ht="15.75" customHeight="1" s="85">
      <c r="A107" s="93" t="n"/>
      <c r="B107" s="93" t="n"/>
      <c r="C107" s="93" t="n"/>
      <c r="D107" s="93" t="n"/>
      <c r="E107" s="139" t="inlineStr">
        <is>
          <t>PR</t>
        </is>
      </c>
      <c r="F107" s="140" t="n"/>
      <c r="G107" s="121" t="n"/>
      <c r="H107" s="93" t="n"/>
      <c r="I107" s="93" t="n"/>
      <c r="J107" s="139" t="inlineStr">
        <is>
          <t>PR</t>
        </is>
      </c>
      <c r="K107" s="140" t="n"/>
      <c r="L107" s="121" t="n"/>
      <c r="M107" s="93" t="n"/>
      <c r="N107" s="93" t="n"/>
      <c r="O107" s="139" t="inlineStr">
        <is>
          <t>PR</t>
        </is>
      </c>
      <c r="P107" s="140" t="n"/>
      <c r="Q107" s="121" t="n"/>
      <c r="R107" s="93" t="n"/>
      <c r="S107" s="93" t="n"/>
      <c r="T107" s="139" t="inlineStr">
        <is>
          <t>PR</t>
        </is>
      </c>
      <c r="U107" s="140" t="n"/>
      <c r="V107" s="121" t="n"/>
      <c r="W107" s="93" t="n"/>
      <c r="X107" s="93" t="n"/>
      <c r="Y107" s="93" t="n"/>
      <c r="Z107" s="93" t="n"/>
      <c r="AA107" s="97" t="n"/>
      <c r="AB107" s="97" t="n"/>
      <c r="AC107" s="92" t="inlineStr">
        <is>
          <t>PR-M</t>
        </is>
      </c>
      <c r="AD107" s="97">
        <f>IFERROR(AVERAGE(G107,L107,Q107,V107),"")</f>
        <v/>
      </c>
      <c r="AE107" s="141" t="n"/>
      <c r="AF107" s="97" t="n"/>
      <c r="AG107" s="92" t="n"/>
      <c r="AH107" s="92" t="n"/>
      <c r="AI107" s="92" t="n"/>
      <c r="AJ107" s="92" t="n"/>
      <c r="AK107" s="92" t="n"/>
      <c r="AL107" s="92" t="n"/>
      <c r="AM107" s="138" t="n"/>
      <c r="AN107" s="138" t="n"/>
      <c r="AO107" s="138" t="n"/>
      <c r="AP107" s="138" t="n"/>
      <c r="AQ107" s="138" t="n"/>
    </row>
    <row r="108" ht="15.75" customHeight="1" s="85">
      <c r="A108" s="97" t="n"/>
      <c r="B108" s="93" t="n"/>
      <c r="C108" s="93" t="n"/>
      <c r="D108" s="93" t="n"/>
      <c r="E108" s="142">
        <f>SUM(E95:E106)</f>
        <v/>
      </c>
      <c r="F108" s="142" t="n"/>
      <c r="G108" s="142" t="n"/>
      <c r="H108" s="142" t="n"/>
      <c r="I108" s="142" t="n"/>
      <c r="J108" s="142">
        <f>SUM(J95:J106)</f>
        <v/>
      </c>
      <c r="K108" s="142" t="n"/>
      <c r="L108" s="142" t="n"/>
      <c r="M108" s="142" t="n"/>
      <c r="N108" s="142" t="n"/>
      <c r="O108" s="142">
        <f>SUM(O95:O106)</f>
        <v/>
      </c>
      <c r="P108" s="142" t="n"/>
      <c r="Q108" s="142" t="n"/>
      <c r="R108" s="142" t="n"/>
      <c r="S108" s="142" t="n"/>
      <c r="T108" s="142">
        <f>SUM(T95:T106)</f>
        <v/>
      </c>
      <c r="U108" s="142" t="n"/>
      <c r="V108" s="142" t="n"/>
      <c r="W108" s="142" t="n"/>
      <c r="X108" s="142" t="n"/>
      <c r="Y108" s="142">
        <f>SUM(Y95:Y106)</f>
        <v/>
      </c>
      <c r="Z108" s="142" t="n"/>
      <c r="AA108" s="138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</row>
    <row r="109" ht="15" customHeight="1" s="85">
      <c r="A109" s="97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4" t="inlineStr">
        <is>
          <t>Son</t>
        </is>
      </c>
      <c r="M109" s="94" t="inlineStr">
        <is>
          <t>Estr</t>
        </is>
      </c>
      <c r="N109" s="94" t="inlineStr">
        <is>
          <t>Fad</t>
        </is>
      </c>
      <c r="O109" s="94" t="inlineStr">
        <is>
          <t>Dor</t>
        </is>
      </c>
      <c r="P109" s="93" t="n"/>
      <c r="Q109" s="95" t="inlineStr">
        <is>
          <t>Média</t>
        </is>
      </c>
      <c r="S109" s="93" t="n"/>
      <c r="T109" s="96" t="inlineStr">
        <is>
          <t>Teste de potência</t>
        </is>
      </c>
      <c r="Y109" s="93" t="n"/>
      <c r="Z109" s="93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</row>
    <row r="110" ht="15.75" customHeight="1" s="85">
      <c r="A110" s="98" t="inlineStr">
        <is>
          <t>DOMINGO</t>
        </is>
      </c>
      <c r="B110" s="93" t="n"/>
      <c r="C110" s="99" t="inlineStr">
        <is>
          <t>DATA</t>
        </is>
      </c>
      <c r="D110" s="100" t="n"/>
      <c r="E110" s="143" t="n"/>
      <c r="F110" s="102" t="n"/>
      <c r="G110" s="102" t="n"/>
      <c r="H110" s="103" t="n"/>
      <c r="I110" s="93" t="n"/>
      <c r="J110" s="93" t="n"/>
      <c r="K110" s="93" t="n"/>
      <c r="L110" s="94" t="n"/>
      <c r="M110" s="94" t="n"/>
      <c r="N110" s="94" t="n"/>
      <c r="O110" s="94" t="n"/>
      <c r="P110" s="93" t="n"/>
      <c r="Q110" s="104">
        <f>IFERROR(AVERAGE(L110:O110),"")</f>
        <v/>
      </c>
      <c r="R110" s="103" t="n"/>
      <c r="S110" s="105">
        <f>Q110</f>
        <v/>
      </c>
      <c r="T110" s="121" t="n"/>
      <c r="U110" s="102" t="n"/>
      <c r="V110" s="102" t="n"/>
      <c r="W110" s="102" t="n"/>
      <c r="X110" s="103" t="n"/>
      <c r="Y110" s="93" t="n"/>
      <c r="Z110" s="93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</row>
    <row r="111" ht="15" customHeight="1" s="85">
      <c r="A111" s="106" t="inlineStr">
        <is>
          <t>Exercícios</t>
        </is>
      </c>
      <c r="B111" s="107" t="inlineStr">
        <is>
          <t>série 1</t>
        </is>
      </c>
      <c r="C111" s="102" t="n"/>
      <c r="D111" s="102" t="n"/>
      <c r="E111" s="103" t="n"/>
      <c r="F111" s="96" t="n"/>
      <c r="G111" s="108" t="inlineStr">
        <is>
          <t>série 2</t>
        </is>
      </c>
      <c r="H111" s="100" t="n"/>
      <c r="I111" s="100" t="n"/>
      <c r="J111" s="109" t="n"/>
      <c r="K111" s="96" t="n"/>
      <c r="L111" s="94" t="inlineStr">
        <is>
          <t>série 3</t>
        </is>
      </c>
      <c r="M111" s="102" t="n"/>
      <c r="N111" s="102" t="n"/>
      <c r="O111" s="103" t="n"/>
      <c r="P111" s="96" t="n"/>
      <c r="Q111" s="94" t="inlineStr">
        <is>
          <t>série 4</t>
        </is>
      </c>
      <c r="R111" s="102" t="n"/>
      <c r="S111" s="102" t="n"/>
      <c r="T111" s="103" t="n"/>
      <c r="U111" s="96" t="n"/>
      <c r="V111" s="94" t="inlineStr">
        <is>
          <t>série 5</t>
        </is>
      </c>
      <c r="W111" s="102" t="n"/>
      <c r="X111" s="102" t="n"/>
      <c r="Y111" s="103" t="n"/>
      <c r="Z111" s="96" t="n"/>
      <c r="AA111" s="110" t="inlineStr">
        <is>
          <t>VEL (2x1)</t>
        </is>
      </c>
      <c r="AB111" s="110" t="inlineStr">
        <is>
          <t>VEL (3x1)</t>
        </is>
      </c>
      <c r="AC111" s="110" t="inlineStr">
        <is>
          <t>VEL (4x1)</t>
        </is>
      </c>
      <c r="AD111" s="111" t="inlineStr">
        <is>
          <t>VEL (5x1)</t>
        </is>
      </c>
      <c r="AE111" s="112" t="n"/>
      <c r="AF111" s="97" t="n"/>
      <c r="AG111" s="113" t="inlineStr">
        <is>
          <t>VTT-SESSÃO</t>
        </is>
      </c>
      <c r="AH111" s="114" t="n"/>
      <c r="AI111" s="97" t="n"/>
      <c r="AJ111" s="113" t="inlineStr">
        <is>
          <t>CARGA DE TREINO (U.A)</t>
        </is>
      </c>
      <c r="AK111" s="115" t="n"/>
      <c r="AL111" s="114" t="n"/>
      <c r="AM111" s="97" t="n"/>
      <c r="AN111" s="97" t="n"/>
      <c r="AO111" s="97" t="n"/>
      <c r="AP111" s="97" t="n"/>
      <c r="AQ111" s="97" t="n"/>
    </row>
    <row r="112" ht="15.75" customHeight="1" s="85">
      <c r="A112" s="116" t="n"/>
      <c r="B112" s="117" t="inlineStr">
        <is>
          <t>nº reps</t>
        </is>
      </c>
      <c r="C112" s="117" t="inlineStr">
        <is>
          <t>peso(kg)</t>
        </is>
      </c>
      <c r="D112" s="117" t="inlineStr">
        <is>
          <t>veloc(s)</t>
        </is>
      </c>
      <c r="E112" s="118" t="inlineStr">
        <is>
          <t>VTT (sér)</t>
        </is>
      </c>
      <c r="F112" s="119" t="n"/>
      <c r="G112" s="117" t="inlineStr">
        <is>
          <t>nº reps</t>
        </is>
      </c>
      <c r="H112" s="117" t="inlineStr">
        <is>
          <t>peso(kg)</t>
        </is>
      </c>
      <c r="I112" s="117" t="inlineStr">
        <is>
          <t>veloc(s)</t>
        </is>
      </c>
      <c r="J112" s="118" t="inlineStr">
        <is>
          <t>VTT (sér)</t>
        </is>
      </c>
      <c r="K112" s="119" t="n"/>
      <c r="L112" s="117" t="inlineStr">
        <is>
          <t>nº reps</t>
        </is>
      </c>
      <c r="M112" s="117" t="inlineStr">
        <is>
          <t>peso(kg)</t>
        </is>
      </c>
      <c r="N112" s="117" t="inlineStr">
        <is>
          <t>veloc(s)</t>
        </is>
      </c>
      <c r="O112" s="118" t="inlineStr">
        <is>
          <t>VTT (sér)</t>
        </is>
      </c>
      <c r="P112" s="119" t="n"/>
      <c r="Q112" s="117" t="inlineStr">
        <is>
          <t>nº reps</t>
        </is>
      </c>
      <c r="R112" s="117" t="inlineStr">
        <is>
          <t>peso(kg)</t>
        </is>
      </c>
      <c r="S112" s="117" t="inlineStr">
        <is>
          <t>veloc(s)</t>
        </is>
      </c>
      <c r="T112" s="118" t="inlineStr">
        <is>
          <t>VTT (sér)</t>
        </is>
      </c>
      <c r="U112" s="119" t="n"/>
      <c r="V112" s="117" t="inlineStr">
        <is>
          <t>nº reps</t>
        </is>
      </c>
      <c r="W112" s="117" t="inlineStr">
        <is>
          <t>peso(kg)</t>
        </is>
      </c>
      <c r="X112" s="117" t="inlineStr">
        <is>
          <t>veloc(s)</t>
        </is>
      </c>
      <c r="Y112" s="118" t="inlineStr">
        <is>
          <t>VTT (sér)</t>
        </is>
      </c>
      <c r="Z112" s="119" t="n"/>
      <c r="AA112" s="120" t="n"/>
      <c r="AB112" s="120" t="n"/>
      <c r="AC112" s="120" t="n"/>
      <c r="AD112" s="89" t="n"/>
      <c r="AE112" s="116" t="n"/>
      <c r="AF112" s="97" t="n"/>
      <c r="AG112" s="98">
        <f>SUM(E126+J126+O126+T126+Y126)</f>
        <v/>
      </c>
      <c r="AH112" s="103" t="n"/>
      <c r="AI112" s="97" t="n"/>
      <c r="AJ112" s="98">
        <f>AE113*AG115</f>
        <v/>
      </c>
      <c r="AK112" s="102" t="n"/>
      <c r="AL112" s="103" t="n"/>
      <c r="AM112" s="97" t="n"/>
      <c r="AN112" s="97" t="n"/>
      <c r="AO112" s="97" t="n"/>
      <c r="AP112" s="97" t="n"/>
      <c r="AQ112" s="97" t="n"/>
    </row>
    <row r="113" ht="21" customHeight="1" s="85">
      <c r="A113" s="121" t="n"/>
      <c r="B113" s="121" t="n"/>
      <c r="C113" s="121" t="n"/>
      <c r="D113" s="121" t="n"/>
      <c r="E113" s="121">
        <f>B113*C113</f>
        <v/>
      </c>
      <c r="F113" s="93" t="n"/>
      <c r="G113" s="121" t="n"/>
      <c r="H113" s="121" t="n"/>
      <c r="I113" s="121" t="n"/>
      <c r="J113" s="121">
        <f>G113*H113</f>
        <v/>
      </c>
      <c r="K113" s="93" t="n"/>
      <c r="L113" s="121" t="n"/>
      <c r="M113" s="121" t="n"/>
      <c r="N113" s="121" t="n"/>
      <c r="O113" s="121">
        <f>L113*M113</f>
        <v/>
      </c>
      <c r="P113" s="93" t="n"/>
      <c r="Q113" s="121" t="n"/>
      <c r="R113" s="121" t="n"/>
      <c r="S113" s="121" t="n"/>
      <c r="T113" s="121">
        <f>Q113*R113</f>
        <v/>
      </c>
      <c r="U113" s="93" t="n"/>
      <c r="V113" s="121" t="n"/>
      <c r="W113" s="121" t="n"/>
      <c r="X113" s="121" t="n"/>
      <c r="Y113" s="121">
        <f>V113*W113</f>
        <v/>
      </c>
      <c r="Z113" s="93" t="n"/>
      <c r="AA113" s="122">
        <f>IFERROR(((I113-D113)/D113)*100,"")</f>
        <v/>
      </c>
      <c r="AB113" s="122">
        <f>IFERROR(((N113-D113)/D113)*100,"")</f>
        <v/>
      </c>
      <c r="AC113" s="122">
        <f>IFERROR(((S113-D113)/D113)*100,"")</f>
        <v/>
      </c>
      <c r="AD113" s="122">
        <f>IFERROR(((X113-D113)/D113)*100,"")</f>
        <v/>
      </c>
      <c r="AE113" s="123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</row>
    <row r="114" ht="21" customHeight="1" s="85">
      <c r="A114" s="124" t="n"/>
      <c r="B114" s="124" t="n"/>
      <c r="C114" s="124" t="n"/>
      <c r="D114" s="124" t="n"/>
      <c r="E114" s="124">
        <f>B114*C114</f>
        <v/>
      </c>
      <c r="F114" s="93" t="n"/>
      <c r="G114" s="124" t="n"/>
      <c r="H114" s="124" t="n"/>
      <c r="I114" s="124" t="n"/>
      <c r="J114" s="124">
        <f>G114*H114</f>
        <v/>
      </c>
      <c r="K114" s="93" t="n"/>
      <c r="L114" s="124" t="n"/>
      <c r="M114" s="124" t="n"/>
      <c r="N114" s="124" t="n"/>
      <c r="O114" s="124">
        <f>L114*M114</f>
        <v/>
      </c>
      <c r="P114" s="93" t="n"/>
      <c r="Q114" s="124" t="n"/>
      <c r="R114" s="124" t="n"/>
      <c r="S114" s="124" t="n"/>
      <c r="T114" s="124">
        <f>Q114*R114</f>
        <v/>
      </c>
      <c r="U114" s="93" t="n"/>
      <c r="V114" s="124" t="n"/>
      <c r="W114" s="124" t="n"/>
      <c r="X114" s="124" t="n"/>
      <c r="Y114" s="124">
        <f>V114*W114</f>
        <v/>
      </c>
      <c r="Z114" s="93" t="n"/>
      <c r="AA114" s="125">
        <f>IFERROR(((I114-D114)/D114)*100,"")</f>
        <v/>
      </c>
      <c r="AB114" s="125">
        <f>IFERROR(((N114-D114)/D114)*100,"")</f>
        <v/>
      </c>
      <c r="AC114" s="125">
        <f>IFERROR(((S114-D114)/D114)*100,"")</f>
        <v/>
      </c>
      <c r="AD114" s="125">
        <f>IFERROR(((X114-D114)/D114)*100,"")</f>
        <v/>
      </c>
      <c r="AE114" s="126" t="n"/>
      <c r="AF114" s="97" t="n"/>
      <c r="AG114" s="113" t="inlineStr">
        <is>
          <t>Tempo total sessão (min)</t>
        </is>
      </c>
      <c r="AH114" s="115" t="n"/>
      <c r="AI114" s="115" t="n"/>
      <c r="AJ114" s="115" t="n"/>
      <c r="AK114" s="115" t="n"/>
      <c r="AL114" s="114" t="n"/>
      <c r="AM114" s="97" t="n"/>
      <c r="AN114" s="97" t="n"/>
      <c r="AO114" s="97" t="n"/>
      <c r="AP114" s="97" t="n"/>
      <c r="AQ114" s="97" t="n"/>
    </row>
    <row r="115" ht="21" customHeight="1" s="85">
      <c r="A115" s="121" t="n"/>
      <c r="B115" s="121" t="n"/>
      <c r="C115" s="121" t="n"/>
      <c r="D115" s="121" t="n"/>
      <c r="E115" s="121">
        <f>B115*C115</f>
        <v/>
      </c>
      <c r="F115" s="93" t="n"/>
      <c r="G115" s="121" t="n"/>
      <c r="H115" s="121" t="n"/>
      <c r="I115" s="121" t="n"/>
      <c r="J115" s="121">
        <f>G115*H115</f>
        <v/>
      </c>
      <c r="K115" s="93" t="n"/>
      <c r="L115" s="121" t="n"/>
      <c r="M115" s="121" t="n"/>
      <c r="N115" s="121" t="n"/>
      <c r="O115" s="121">
        <f>L115*M115</f>
        <v/>
      </c>
      <c r="P115" s="93" t="n"/>
      <c r="Q115" s="121" t="n"/>
      <c r="R115" s="121" t="n"/>
      <c r="S115" s="121" t="n"/>
      <c r="T115" s="121">
        <f>Q115*R115</f>
        <v/>
      </c>
      <c r="U115" s="93" t="n"/>
      <c r="V115" s="121" t="n"/>
      <c r="W115" s="121" t="n"/>
      <c r="X115" s="121" t="n"/>
      <c r="Y115" s="121">
        <f>V115*W115</f>
        <v/>
      </c>
      <c r="Z115" s="93" t="n"/>
      <c r="AA115" s="122">
        <f>IFERROR(((I115-D115)/D115)*100,"")</f>
        <v/>
      </c>
      <c r="AB115" s="122">
        <f>IFERROR(((N115-D115)/D115)*100,"")</f>
        <v/>
      </c>
      <c r="AC115" s="122">
        <f>IFERROR(((S115-D115)/D115)*100,"")</f>
        <v/>
      </c>
      <c r="AD115" s="122">
        <f>IFERROR(((X115-D115)/D115)*100,"")</f>
        <v/>
      </c>
      <c r="AE115" s="126" t="n"/>
      <c r="AF115" s="97" t="n"/>
      <c r="AG115" s="127" t="n"/>
      <c r="AH115" s="128" t="n"/>
      <c r="AI115" s="128" t="n"/>
      <c r="AJ115" s="128" t="n"/>
      <c r="AK115" s="128" t="n"/>
      <c r="AL115" s="129" t="n"/>
      <c r="AM115" s="97" t="n"/>
      <c r="AN115" s="97" t="n"/>
      <c r="AO115" s="97" t="n"/>
      <c r="AP115" s="97" t="n"/>
      <c r="AQ115" s="97" t="n"/>
    </row>
    <row r="116" ht="21" customHeight="1" s="85">
      <c r="A116" s="124" t="n"/>
      <c r="B116" s="124" t="n"/>
      <c r="C116" s="124" t="n"/>
      <c r="D116" s="124" t="n"/>
      <c r="E116" s="124">
        <f>B116*C116</f>
        <v/>
      </c>
      <c r="F116" s="93" t="n"/>
      <c r="G116" s="124" t="n"/>
      <c r="H116" s="124" t="n"/>
      <c r="I116" s="124" t="n"/>
      <c r="J116" s="124">
        <f>G116*H116</f>
        <v/>
      </c>
      <c r="K116" s="93" t="n"/>
      <c r="L116" s="124" t="n"/>
      <c r="M116" s="124" t="n"/>
      <c r="N116" s="124" t="n"/>
      <c r="O116" s="124">
        <f>L116*M116</f>
        <v/>
      </c>
      <c r="P116" s="93" t="n"/>
      <c r="Q116" s="124" t="n"/>
      <c r="R116" s="124" t="n"/>
      <c r="S116" s="124" t="n"/>
      <c r="T116" s="124">
        <f>Q116*R116</f>
        <v/>
      </c>
      <c r="U116" s="93" t="n"/>
      <c r="V116" s="124" t="n"/>
      <c r="W116" s="124" t="n"/>
      <c r="X116" s="124" t="n"/>
      <c r="Y116" s="124">
        <f>V116*W116</f>
        <v/>
      </c>
      <c r="Z116" s="93" t="n"/>
      <c r="AA116" s="125">
        <f>IFERROR(((I116-D116)/D116)*100,"")</f>
        <v/>
      </c>
      <c r="AB116" s="125">
        <f>IFERROR(((N116-D116)/D116)*100,"")</f>
        <v/>
      </c>
      <c r="AC116" s="125">
        <f>IFERROR(((S116-D116)/D116)*100,"")</f>
        <v/>
      </c>
      <c r="AD116" s="125">
        <f>IFERROR(((X116-D116)/D116)*100,"")</f>
        <v/>
      </c>
      <c r="AE116" s="126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</row>
    <row r="117" ht="21" customHeight="1" s="85">
      <c r="A117" s="121" t="n"/>
      <c r="B117" s="121" t="n"/>
      <c r="C117" s="121" t="n"/>
      <c r="D117" s="121" t="n"/>
      <c r="E117" s="121">
        <f>B117*C117</f>
        <v/>
      </c>
      <c r="F117" s="93" t="n"/>
      <c r="G117" s="121" t="n"/>
      <c r="H117" s="121" t="n"/>
      <c r="I117" s="121" t="n"/>
      <c r="J117" s="121">
        <f>G117*H117</f>
        <v/>
      </c>
      <c r="K117" s="93" t="n"/>
      <c r="L117" s="121" t="n"/>
      <c r="M117" s="121" t="n"/>
      <c r="N117" s="121" t="n"/>
      <c r="O117" s="121">
        <f>L117*M117</f>
        <v/>
      </c>
      <c r="P117" s="93" t="n"/>
      <c r="Q117" s="121" t="n"/>
      <c r="R117" s="121" t="n"/>
      <c r="S117" s="121" t="n"/>
      <c r="T117" s="121">
        <f>Q117*R117</f>
        <v/>
      </c>
      <c r="U117" s="93" t="n"/>
      <c r="V117" s="121" t="n"/>
      <c r="W117" s="121" t="n"/>
      <c r="X117" s="121" t="n"/>
      <c r="Y117" s="121">
        <f>V117*W117</f>
        <v/>
      </c>
      <c r="Z117" s="93" t="n"/>
      <c r="AA117" s="122">
        <f>IFERROR(((I117-D117)/D117)*100,"")</f>
        <v/>
      </c>
      <c r="AB117" s="122">
        <f>IFERROR(((N117-D117)/D117)*100,"")</f>
        <v/>
      </c>
      <c r="AC117" s="122">
        <f>IFERROR(((S117-D117)/D117)*100,"")</f>
        <v/>
      </c>
      <c r="AD117" s="122">
        <f>IFERROR(((X117-D117)/D117)*100,"")</f>
        <v/>
      </c>
      <c r="AE117" s="126" t="n"/>
      <c r="AF117" s="97" t="n"/>
      <c r="AG117" s="92" t="n"/>
      <c r="AM117" s="97" t="n"/>
      <c r="AN117" s="97" t="n"/>
      <c r="AO117" s="97" t="n"/>
      <c r="AP117" s="97" t="n"/>
      <c r="AQ117" s="97" t="n"/>
    </row>
    <row r="118" ht="21" customHeight="1" s="85">
      <c r="A118" s="124" t="n"/>
      <c r="B118" s="124" t="n"/>
      <c r="C118" s="124" t="n"/>
      <c r="D118" s="124" t="n"/>
      <c r="E118" s="124">
        <f>B118*C118</f>
        <v/>
      </c>
      <c r="F118" s="93" t="n"/>
      <c r="G118" s="124" t="n"/>
      <c r="H118" s="124" t="n"/>
      <c r="I118" s="124" t="n"/>
      <c r="J118" s="124">
        <f>G118*H118</f>
        <v/>
      </c>
      <c r="K118" s="93" t="n"/>
      <c r="L118" s="124" t="n"/>
      <c r="M118" s="124" t="n"/>
      <c r="N118" s="124" t="n"/>
      <c r="O118" s="124">
        <f>L118*M118</f>
        <v/>
      </c>
      <c r="P118" s="93" t="n"/>
      <c r="Q118" s="124" t="n"/>
      <c r="R118" s="124" t="n"/>
      <c r="S118" s="124" t="n"/>
      <c r="T118" s="124">
        <f>Q118*R118</f>
        <v/>
      </c>
      <c r="U118" s="93" t="n"/>
      <c r="V118" s="124" t="n"/>
      <c r="W118" s="124" t="n"/>
      <c r="X118" s="124" t="n"/>
      <c r="Y118" s="124">
        <f>V118*W118</f>
        <v/>
      </c>
      <c r="Z118" s="93" t="n"/>
      <c r="AA118" s="125">
        <f>IFERROR(((I118-D118)/D118)*100,"")</f>
        <v/>
      </c>
      <c r="AB118" s="125">
        <f>IFERROR(((N118-D118)/D118)*100,"")</f>
        <v/>
      </c>
      <c r="AC118" s="125">
        <f>IFERROR(((S118-D118)/D118)*100,"")</f>
        <v/>
      </c>
      <c r="AD118" s="125">
        <f>IFERROR(((X118-D118)/D118)*100,"")</f>
        <v/>
      </c>
      <c r="AE118" s="126" t="n"/>
      <c r="AF118" s="97" t="n"/>
      <c r="AG118" s="92" t="n"/>
      <c r="AM118" s="97" t="n"/>
      <c r="AN118" s="97" t="n"/>
      <c r="AO118" s="97" t="n"/>
      <c r="AP118" s="97" t="n"/>
      <c r="AQ118" s="97" t="n"/>
    </row>
    <row r="119" ht="21" customHeight="1" s="85">
      <c r="A119" s="121" t="n"/>
      <c r="B119" s="121" t="n"/>
      <c r="C119" s="121" t="n"/>
      <c r="D119" s="121" t="n"/>
      <c r="E119" s="121">
        <f>B119*C119</f>
        <v/>
      </c>
      <c r="F119" s="93" t="n"/>
      <c r="G119" s="121" t="n"/>
      <c r="H119" s="121" t="n"/>
      <c r="I119" s="121" t="n"/>
      <c r="J119" s="121">
        <f>G119*H119</f>
        <v/>
      </c>
      <c r="K119" s="93" t="n"/>
      <c r="L119" s="121" t="n"/>
      <c r="M119" s="121" t="n"/>
      <c r="N119" s="121" t="n"/>
      <c r="O119" s="121">
        <f>L119*M119</f>
        <v/>
      </c>
      <c r="P119" s="93" t="n"/>
      <c r="Q119" s="121" t="n"/>
      <c r="R119" s="121" t="n"/>
      <c r="S119" s="121" t="n"/>
      <c r="T119" s="121">
        <f>Q119*R119</f>
        <v/>
      </c>
      <c r="U119" s="93" t="n"/>
      <c r="V119" s="121" t="n"/>
      <c r="W119" s="121" t="n"/>
      <c r="X119" s="121" t="n"/>
      <c r="Y119" s="121">
        <f>V119*W119</f>
        <v/>
      </c>
      <c r="Z119" s="93" t="n"/>
      <c r="AA119" s="122">
        <f>IFERROR(((I119-D119)/D119)*100,"")</f>
        <v/>
      </c>
      <c r="AB119" s="122">
        <f>IFERROR(((N119-D119)/D119)*100,"")</f>
        <v/>
      </c>
      <c r="AC119" s="122">
        <f>IFERROR(((S119-D119)/D119)*100,"")</f>
        <v/>
      </c>
      <c r="AD119" s="122">
        <f>IFERROR(((X119-D119)/D119)*100,"")</f>
        <v/>
      </c>
      <c r="AE119" s="126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</row>
    <row r="120" ht="21" customHeight="1" s="85">
      <c r="A120" s="124" t="n"/>
      <c r="B120" s="124" t="n"/>
      <c r="C120" s="124" t="n"/>
      <c r="D120" s="124" t="n"/>
      <c r="E120" s="124">
        <f>B120*C120</f>
        <v/>
      </c>
      <c r="F120" s="93" t="n"/>
      <c r="G120" s="124" t="n"/>
      <c r="H120" s="124" t="n"/>
      <c r="I120" s="124" t="n"/>
      <c r="J120" s="124">
        <f>G120*H120</f>
        <v/>
      </c>
      <c r="K120" s="93" t="n"/>
      <c r="L120" s="124" t="n"/>
      <c r="M120" s="124" t="n"/>
      <c r="N120" s="124" t="n"/>
      <c r="O120" s="124">
        <f>L120*M120</f>
        <v/>
      </c>
      <c r="P120" s="93" t="n"/>
      <c r="Q120" s="124" t="n"/>
      <c r="R120" s="124" t="n"/>
      <c r="S120" s="124" t="n"/>
      <c r="T120" s="124">
        <f>Q120*R120</f>
        <v/>
      </c>
      <c r="U120" s="93" t="n"/>
      <c r="V120" s="124" t="n"/>
      <c r="W120" s="124" t="n"/>
      <c r="X120" s="124" t="n"/>
      <c r="Y120" s="124">
        <f>V120*W120</f>
        <v/>
      </c>
      <c r="Z120" s="93" t="n"/>
      <c r="AA120" s="125">
        <f>IFERROR(((I120-D120)/D120)*100,"")</f>
        <v/>
      </c>
      <c r="AB120" s="125">
        <f>IFERROR(((N120-D120)/D120)*100,"")</f>
        <v/>
      </c>
      <c r="AC120" s="125">
        <f>IFERROR(((S120-D120)/D120)*100,"")</f>
        <v/>
      </c>
      <c r="AD120" s="125">
        <f>IFERROR(((X120-D120)/D120)*100,"")</f>
        <v/>
      </c>
      <c r="AE120" s="126" t="n"/>
      <c r="AF120" s="97" t="n"/>
      <c r="AG120" s="96" t="n"/>
      <c r="AM120" s="97" t="n"/>
      <c r="AN120" s="97" t="n"/>
      <c r="AO120" s="97" t="n"/>
      <c r="AP120" s="97" t="n"/>
      <c r="AQ120" s="97" t="n"/>
    </row>
    <row r="121" ht="21" customHeight="1" s="85">
      <c r="A121" s="121" t="n"/>
      <c r="B121" s="121" t="n"/>
      <c r="C121" s="121" t="n"/>
      <c r="D121" s="121" t="n"/>
      <c r="E121" s="121">
        <f>B121*C121</f>
        <v/>
      </c>
      <c r="F121" s="93" t="n"/>
      <c r="G121" s="121" t="n"/>
      <c r="H121" s="121" t="n"/>
      <c r="I121" s="121" t="n"/>
      <c r="J121" s="121">
        <f>G121*H121</f>
        <v/>
      </c>
      <c r="K121" s="93" t="n"/>
      <c r="L121" s="121" t="n"/>
      <c r="M121" s="121" t="n"/>
      <c r="N121" s="121" t="n"/>
      <c r="O121" s="121">
        <f>L121*M121</f>
        <v/>
      </c>
      <c r="P121" s="93" t="n"/>
      <c r="Q121" s="121" t="n"/>
      <c r="R121" s="121" t="n"/>
      <c r="S121" s="121" t="n"/>
      <c r="T121" s="121">
        <f>Q121*R121</f>
        <v/>
      </c>
      <c r="U121" s="93" t="n"/>
      <c r="V121" s="121" t="n"/>
      <c r="W121" s="121" t="n"/>
      <c r="X121" s="121" t="n"/>
      <c r="Y121" s="121">
        <f>V121*W121</f>
        <v/>
      </c>
      <c r="Z121" s="93" t="n"/>
      <c r="AA121" s="122">
        <f>IFERROR(((I121-D121)/D121)*100,"")</f>
        <v/>
      </c>
      <c r="AB121" s="122">
        <f>IFERROR(((N121-D121)/D121)*100,"")</f>
        <v/>
      </c>
      <c r="AC121" s="122">
        <f>IFERROR(((S121-D121)/D121)*100,"")</f>
        <v/>
      </c>
      <c r="AD121" s="122">
        <f>IFERROR(((X121-D121)/D121)*100,"")</f>
        <v/>
      </c>
      <c r="AE121" s="126" t="n"/>
      <c r="AF121" s="97" t="n"/>
      <c r="AG121" s="93" t="n"/>
      <c r="AM121" s="97" t="n"/>
      <c r="AN121" s="97" t="n"/>
      <c r="AO121" s="97" t="n"/>
      <c r="AP121" s="97" t="n"/>
      <c r="AQ121" s="97" t="n"/>
    </row>
    <row r="122" ht="21" customHeight="1" s="85">
      <c r="A122" s="124" t="n"/>
      <c r="B122" s="124" t="n"/>
      <c r="C122" s="124" t="n"/>
      <c r="D122" s="124" t="n"/>
      <c r="E122" s="124">
        <f>B122*C122</f>
        <v/>
      </c>
      <c r="F122" s="93" t="n"/>
      <c r="G122" s="124" t="n"/>
      <c r="H122" s="124" t="n"/>
      <c r="I122" s="124" t="n"/>
      <c r="J122" s="124">
        <f>G122*H122</f>
        <v/>
      </c>
      <c r="K122" s="93" t="n"/>
      <c r="L122" s="124" t="n"/>
      <c r="M122" s="124" t="n"/>
      <c r="N122" s="124" t="n"/>
      <c r="O122" s="124">
        <f>L122*M122</f>
        <v/>
      </c>
      <c r="P122" s="93" t="n"/>
      <c r="Q122" s="124" t="n"/>
      <c r="R122" s="124" t="n"/>
      <c r="S122" s="124" t="n"/>
      <c r="T122" s="124">
        <f>Q122*R122</f>
        <v/>
      </c>
      <c r="U122" s="93" t="n"/>
      <c r="V122" s="124" t="n"/>
      <c r="W122" s="124" t="n"/>
      <c r="X122" s="124" t="n"/>
      <c r="Y122" s="124">
        <f>V122*W122</f>
        <v/>
      </c>
      <c r="Z122" s="93" t="n"/>
      <c r="AA122" s="125">
        <f>IFERROR(((I122-D122)/D122)*100,"")</f>
        <v/>
      </c>
      <c r="AB122" s="125">
        <f>IFERROR(((N122-D122)/D122)*100,"")</f>
        <v/>
      </c>
      <c r="AC122" s="125">
        <f>IFERROR(((S122-D122)/D122)*100,"")</f>
        <v/>
      </c>
      <c r="AD122" s="125">
        <f>IFERROR(((X122-D122)/D122)*100,"")</f>
        <v/>
      </c>
      <c r="AE122" s="126" t="n"/>
      <c r="AF122" s="97" t="n"/>
      <c r="AG122" s="145" t="n"/>
      <c r="AM122" s="97" t="n"/>
      <c r="AN122" s="97" t="n"/>
      <c r="AO122" s="97" t="n"/>
      <c r="AP122" s="97" t="n"/>
      <c r="AQ122" s="97" t="n"/>
    </row>
    <row r="123" ht="21" customHeight="1" s="85">
      <c r="A123" s="121" t="n"/>
      <c r="B123" s="121" t="n"/>
      <c r="C123" s="121" t="n"/>
      <c r="D123" s="121" t="n"/>
      <c r="E123" s="121">
        <f>B123*C123</f>
        <v/>
      </c>
      <c r="F123" s="93" t="n"/>
      <c r="G123" s="121" t="n"/>
      <c r="H123" s="121" t="n"/>
      <c r="I123" s="121" t="n"/>
      <c r="J123" s="121">
        <f>G123*H123</f>
        <v/>
      </c>
      <c r="K123" s="93" t="n"/>
      <c r="L123" s="121" t="n"/>
      <c r="M123" s="121" t="n"/>
      <c r="N123" s="121" t="n"/>
      <c r="O123" s="121">
        <f>L123*M123</f>
        <v/>
      </c>
      <c r="P123" s="93" t="n"/>
      <c r="Q123" s="121" t="n"/>
      <c r="R123" s="121" t="n"/>
      <c r="S123" s="121" t="n"/>
      <c r="T123" s="121">
        <f>Q123*R123</f>
        <v/>
      </c>
      <c r="U123" s="93" t="n"/>
      <c r="V123" s="121" t="n"/>
      <c r="W123" s="121" t="n"/>
      <c r="X123" s="121" t="n"/>
      <c r="Y123" s="121">
        <f>V123*W123</f>
        <v/>
      </c>
      <c r="Z123" s="93" t="n"/>
      <c r="AA123" s="122">
        <f>IFERROR(((I123-D123)/D123)*100,"")</f>
        <v/>
      </c>
      <c r="AB123" s="122">
        <f>IFERROR(((N123-D123)/D123)*100,"")</f>
        <v/>
      </c>
      <c r="AC123" s="122">
        <f>IFERROR(((S123-D123)/D123)*100,"")</f>
        <v/>
      </c>
      <c r="AD123" s="122">
        <f>IFERROR(((X123-D123)/D123)*100,"")</f>
        <v/>
      </c>
      <c r="AE123" s="126" t="n"/>
      <c r="AF123" s="97" t="n"/>
      <c r="AG123" s="134" t="n"/>
      <c r="AH123" s="134" t="n"/>
      <c r="AJ123" s="134" t="n"/>
      <c r="AK123" s="134" t="n"/>
      <c r="AL123" s="134" t="n"/>
      <c r="AM123" s="97" t="n"/>
      <c r="AN123" s="97" t="n"/>
      <c r="AO123" s="97" t="n"/>
      <c r="AP123" s="97" t="n"/>
      <c r="AQ123" s="97" t="n"/>
    </row>
    <row r="124" ht="21" customHeight="1" s="85">
      <c r="A124" s="124" t="n"/>
      <c r="B124" s="124" t="n"/>
      <c r="C124" s="124" t="n"/>
      <c r="D124" s="124" t="n"/>
      <c r="E124" s="124">
        <f>B124*C124</f>
        <v/>
      </c>
      <c r="F124" s="93" t="n"/>
      <c r="G124" s="124" t="n"/>
      <c r="H124" s="124" t="n"/>
      <c r="I124" s="124" t="n"/>
      <c r="J124" s="124">
        <f>G124*H124</f>
        <v/>
      </c>
      <c r="K124" s="93" t="n"/>
      <c r="L124" s="124" t="n"/>
      <c r="M124" s="124" t="n"/>
      <c r="N124" s="124" t="n"/>
      <c r="O124" s="124">
        <f>L124*M124</f>
        <v/>
      </c>
      <c r="P124" s="93" t="n"/>
      <c r="Q124" s="124" t="n"/>
      <c r="R124" s="124" t="n"/>
      <c r="S124" s="124" t="n"/>
      <c r="T124" s="124">
        <f>Q124*R124</f>
        <v/>
      </c>
      <c r="U124" s="93" t="n"/>
      <c r="V124" s="124" t="n"/>
      <c r="W124" s="124" t="n"/>
      <c r="X124" s="124" t="n"/>
      <c r="Y124" s="124">
        <f>V124*W124</f>
        <v/>
      </c>
      <c r="Z124" s="93" t="n"/>
      <c r="AA124" s="125">
        <f>IFERROR(((I124-D124)/D124)*100,"")</f>
        <v/>
      </c>
      <c r="AB124" s="125">
        <f>IFERROR(((N124-D124)/D124)*100,"")</f>
        <v/>
      </c>
      <c r="AC124" s="125">
        <f>IFERROR(((S124-D124)/D124)*100,"")</f>
        <v/>
      </c>
      <c r="AD124" s="125">
        <f>IFERROR(((X124-D124)/D124)*100,"")</f>
        <v/>
      </c>
      <c r="AE124" s="137" t="n"/>
      <c r="AF124" s="97" t="n"/>
      <c r="AG124" s="92" t="n"/>
      <c r="AH124" s="92" t="n"/>
      <c r="AJ124" s="92" t="n"/>
      <c r="AK124" s="92" t="n"/>
      <c r="AL124" s="92" t="n"/>
      <c r="AM124" s="138">
        <f>AG124*AG123</f>
        <v/>
      </c>
      <c r="AN124" s="138">
        <f>AH124*AH123</f>
        <v/>
      </c>
      <c r="AO124" s="138">
        <f>AJ124*AJ123</f>
        <v/>
      </c>
      <c r="AP124" s="138">
        <f>AK124*AK123</f>
        <v/>
      </c>
      <c r="AQ124" s="138">
        <f>AL124*AL123</f>
        <v/>
      </c>
    </row>
    <row r="125" ht="15.75" customHeight="1" s="85">
      <c r="A125" s="93" t="n"/>
      <c r="B125" s="93" t="n"/>
      <c r="C125" s="93" t="n"/>
      <c r="D125" s="93" t="n"/>
      <c r="E125" s="139" t="inlineStr">
        <is>
          <t>PR</t>
        </is>
      </c>
      <c r="F125" s="140" t="n"/>
      <c r="G125" s="121" t="n"/>
      <c r="H125" s="93" t="n"/>
      <c r="I125" s="93" t="n"/>
      <c r="J125" s="139" t="inlineStr">
        <is>
          <t>PR</t>
        </is>
      </c>
      <c r="K125" s="140" t="n"/>
      <c r="L125" s="121" t="n"/>
      <c r="M125" s="93" t="n"/>
      <c r="N125" s="93" t="n"/>
      <c r="O125" s="139" t="inlineStr">
        <is>
          <t>PR</t>
        </is>
      </c>
      <c r="P125" s="140" t="n"/>
      <c r="Q125" s="121" t="n"/>
      <c r="R125" s="93" t="n"/>
      <c r="S125" s="93" t="n"/>
      <c r="T125" s="139" t="inlineStr">
        <is>
          <t>PR</t>
        </is>
      </c>
      <c r="U125" s="140" t="n"/>
      <c r="V125" s="121" t="n"/>
      <c r="W125" s="93" t="n"/>
      <c r="X125" s="93" t="n"/>
      <c r="Y125" s="93" t="n"/>
      <c r="Z125" s="93" t="n"/>
      <c r="AA125" s="97" t="n"/>
      <c r="AB125" s="97" t="n"/>
      <c r="AC125" s="92" t="inlineStr">
        <is>
          <t>PR-M</t>
        </is>
      </c>
      <c r="AD125" s="97">
        <f>IFERROR(AVERAGE(G125,L125,Q125,V125),"")</f>
        <v/>
      </c>
      <c r="AE125" s="141" t="n"/>
      <c r="AF125" s="97" t="n"/>
      <c r="AG125" s="92" t="n"/>
      <c r="AH125" s="92" t="n"/>
      <c r="AI125" s="92" t="n"/>
      <c r="AJ125" s="92" t="n"/>
      <c r="AK125" s="92" t="n"/>
      <c r="AL125" s="92" t="n"/>
      <c r="AM125" s="138" t="n"/>
      <c r="AN125" s="138" t="n"/>
      <c r="AO125" s="138" t="n"/>
      <c r="AP125" s="138" t="n"/>
      <c r="AQ125" s="138" t="n"/>
    </row>
    <row r="126" ht="15.75" customHeight="1" s="85">
      <c r="A126" s="97" t="n"/>
      <c r="B126" s="93" t="n"/>
      <c r="C126" s="93" t="n"/>
      <c r="D126" s="93" t="n"/>
      <c r="E126" s="142">
        <f>SUM(E113:E124)</f>
        <v/>
      </c>
      <c r="F126" s="142" t="n"/>
      <c r="G126" s="142" t="n"/>
      <c r="H126" s="142" t="n"/>
      <c r="I126" s="142" t="n"/>
      <c r="J126" s="142">
        <f>SUM(J113:J124)</f>
        <v/>
      </c>
      <c r="K126" s="142" t="n"/>
      <c r="L126" s="142" t="n"/>
      <c r="M126" s="142" t="n"/>
      <c r="N126" s="142" t="n"/>
      <c r="O126" s="142">
        <f>SUM(O113:O124)</f>
        <v/>
      </c>
      <c r="P126" s="142" t="n"/>
      <c r="Q126" s="142" t="n"/>
      <c r="R126" s="142" t="n"/>
      <c r="S126" s="142" t="n"/>
      <c r="T126" s="142">
        <f>SUM(T113:T124)</f>
        <v/>
      </c>
      <c r="U126" s="142" t="n"/>
      <c r="V126" s="142" t="n"/>
      <c r="W126" s="142" t="n"/>
      <c r="X126" s="142" t="n"/>
      <c r="Y126" s="142">
        <f>SUM(Y113:Y124)</f>
        <v/>
      </c>
      <c r="Z126" s="142" t="n"/>
      <c r="AA126" s="138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</row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45">
    <mergeCell ref="AG4:AH4"/>
    <mergeCell ref="AA111:AA112"/>
    <mergeCell ref="AG115:AL115"/>
    <mergeCell ref="AH124:AI124"/>
    <mergeCell ref="O53:P53"/>
    <mergeCell ref="AJ57:AL57"/>
    <mergeCell ref="E71:F71"/>
    <mergeCell ref="AH33:AI33"/>
    <mergeCell ref="AB75:AB76"/>
    <mergeCell ref="O107:P107"/>
    <mergeCell ref="V57:Y57"/>
    <mergeCell ref="Q55:R55"/>
    <mergeCell ref="G111:J111"/>
    <mergeCell ref="Q73:R73"/>
    <mergeCell ref="AE57:AE58"/>
    <mergeCell ref="J53:K53"/>
    <mergeCell ref="Q21:T21"/>
    <mergeCell ref="AG111:AH111"/>
    <mergeCell ref="AG13:AL13"/>
    <mergeCell ref="T55:X55"/>
    <mergeCell ref="O35:P35"/>
    <mergeCell ref="AG78:AL78"/>
    <mergeCell ref="C56:D56"/>
    <mergeCell ref="AE59:AE70"/>
    <mergeCell ref="AG118:AL118"/>
    <mergeCell ref="AG30:AL30"/>
    <mergeCell ref="T92:X92"/>
    <mergeCell ref="B93:E93"/>
    <mergeCell ref="L75:O75"/>
    <mergeCell ref="T110:X110"/>
    <mergeCell ref="AB111:AB112"/>
    <mergeCell ref="AJ112:AL112"/>
    <mergeCell ref="AG102:AL102"/>
    <mergeCell ref="AB39:AB40"/>
    <mergeCell ref="T2:X2"/>
    <mergeCell ref="L3:O3"/>
    <mergeCell ref="V111:Y111"/>
    <mergeCell ref="B21:E21"/>
    <mergeCell ref="AJ75:AL75"/>
    <mergeCell ref="AJ22:AL22"/>
    <mergeCell ref="B39:E39"/>
    <mergeCell ref="T109:X109"/>
    <mergeCell ref="Q74:R74"/>
    <mergeCell ref="AG64:AL64"/>
    <mergeCell ref="AG79:AL79"/>
    <mergeCell ref="G57:J57"/>
    <mergeCell ref="AG93:AH93"/>
    <mergeCell ref="Q110:R110"/>
    <mergeCell ref="AG3:AH3"/>
    <mergeCell ref="O17:P17"/>
    <mergeCell ref="Q2:R2"/>
    <mergeCell ref="AJ21:AL21"/>
    <mergeCell ref="AH70:AI70"/>
    <mergeCell ref="Q93:T93"/>
    <mergeCell ref="AG63:AL63"/>
    <mergeCell ref="E74:H74"/>
    <mergeCell ref="AG81:AL81"/>
    <mergeCell ref="AG58:AH58"/>
    <mergeCell ref="J71:K71"/>
    <mergeCell ref="T37:X37"/>
    <mergeCell ref="E53:F53"/>
    <mergeCell ref="AE75:AE76"/>
    <mergeCell ref="A111:A112"/>
    <mergeCell ref="AG96:AL96"/>
    <mergeCell ref="E2:H2"/>
    <mergeCell ref="T107:U107"/>
    <mergeCell ref="AJ111:AL111"/>
    <mergeCell ref="AH105:AI105"/>
    <mergeCell ref="AH87:AI87"/>
    <mergeCell ref="C92:D92"/>
    <mergeCell ref="AG49:AL49"/>
    <mergeCell ref="T20:X20"/>
    <mergeCell ref="AG27:AL27"/>
    <mergeCell ref="Q37:R37"/>
    <mergeCell ref="AE21:AE22"/>
    <mergeCell ref="AG94:AH94"/>
    <mergeCell ref="L21:O21"/>
    <mergeCell ref="AG120:AL120"/>
    <mergeCell ref="AG22:AH22"/>
    <mergeCell ref="AE93:AE94"/>
    <mergeCell ref="T53:U53"/>
    <mergeCell ref="T35:U35"/>
    <mergeCell ref="AG40:AH40"/>
    <mergeCell ref="G75:J75"/>
    <mergeCell ref="AE111:AE112"/>
    <mergeCell ref="Q75:T75"/>
    <mergeCell ref="AA57:AA58"/>
    <mergeCell ref="AG21:AH21"/>
    <mergeCell ref="AC39:AC40"/>
    <mergeCell ref="AG66:AL66"/>
    <mergeCell ref="AE39:AE40"/>
    <mergeCell ref="Q38:R38"/>
    <mergeCell ref="AE113:AE124"/>
    <mergeCell ref="Q3:T3"/>
    <mergeCell ref="AG28:AL28"/>
    <mergeCell ref="G21:J21"/>
    <mergeCell ref="B3:E3"/>
    <mergeCell ref="AE41:AE52"/>
    <mergeCell ref="AG12:AL12"/>
    <mergeCell ref="A21:A22"/>
    <mergeCell ref="AG68:AL68"/>
    <mergeCell ref="L57:O57"/>
    <mergeCell ref="T74:X74"/>
    <mergeCell ref="AH34:AI34"/>
    <mergeCell ref="A57:A58"/>
    <mergeCell ref="AJ76:AL76"/>
    <mergeCell ref="Q1:R1"/>
    <mergeCell ref="Q39:T39"/>
    <mergeCell ref="AG67:AL67"/>
    <mergeCell ref="E38:H38"/>
    <mergeCell ref="AG14:AL14"/>
    <mergeCell ref="Q111:T111"/>
    <mergeCell ref="AG57:AH57"/>
    <mergeCell ref="O71:P71"/>
    <mergeCell ref="L93:O93"/>
    <mergeCell ref="AD21:AD22"/>
    <mergeCell ref="AG60:AL60"/>
    <mergeCell ref="C110:D110"/>
    <mergeCell ref="AG117:AL117"/>
    <mergeCell ref="J125:K125"/>
    <mergeCell ref="AE77:AE88"/>
    <mergeCell ref="L39:O39"/>
    <mergeCell ref="V39:Y39"/>
    <mergeCell ref="AC57:AC58"/>
    <mergeCell ref="A39:A40"/>
    <mergeCell ref="AG31:AL31"/>
    <mergeCell ref="T19:X19"/>
    <mergeCell ref="AG46:AL46"/>
    <mergeCell ref="AD111:AD112"/>
    <mergeCell ref="AJ39:AL39"/>
    <mergeCell ref="Q91:R91"/>
    <mergeCell ref="E110:H110"/>
    <mergeCell ref="AC3:AC4"/>
    <mergeCell ref="V75:Y75"/>
    <mergeCell ref="AE3:AE4"/>
    <mergeCell ref="AG32:AL32"/>
    <mergeCell ref="AG97:AL97"/>
    <mergeCell ref="AE5:AE16"/>
    <mergeCell ref="AG7:AL7"/>
    <mergeCell ref="AH106:AI106"/>
    <mergeCell ref="AC111:AC112"/>
    <mergeCell ref="C20:D20"/>
    <mergeCell ref="Q92:R92"/>
    <mergeCell ref="E107:F107"/>
    <mergeCell ref="Q57:T57"/>
    <mergeCell ref="AA39:AA40"/>
    <mergeCell ref="V21:Y21"/>
    <mergeCell ref="O125:P125"/>
    <mergeCell ref="Q20:R20"/>
    <mergeCell ref="AE95:AE106"/>
    <mergeCell ref="AA75:AA76"/>
    <mergeCell ref="J89:K89"/>
    <mergeCell ref="AG122:AL122"/>
    <mergeCell ref="AH88:AI88"/>
    <mergeCell ref="T71:U71"/>
    <mergeCell ref="AG75:AH75"/>
    <mergeCell ref="AG121:AL121"/>
    <mergeCell ref="J35:K35"/>
    <mergeCell ref="Q109:R109"/>
    <mergeCell ref="E92:H92"/>
    <mergeCell ref="AG42:AL42"/>
    <mergeCell ref="T73:X73"/>
    <mergeCell ref="G39:J39"/>
    <mergeCell ref="AG43:AL43"/>
    <mergeCell ref="AD75:AD76"/>
    <mergeCell ref="E20:H20"/>
    <mergeCell ref="AJ93:AL93"/>
    <mergeCell ref="T1:X1"/>
    <mergeCell ref="E89:F89"/>
    <mergeCell ref="O89:P89"/>
    <mergeCell ref="AG112:AH112"/>
    <mergeCell ref="AG114:AL114"/>
    <mergeCell ref="AB3:AB4"/>
    <mergeCell ref="AH123:AI123"/>
    <mergeCell ref="AD3:AD4"/>
    <mergeCell ref="T17:U17"/>
    <mergeCell ref="V93:Y93"/>
    <mergeCell ref="AE23:AE34"/>
    <mergeCell ref="A93:A94"/>
    <mergeCell ref="T56:X56"/>
    <mergeCell ref="AJ40:AL40"/>
    <mergeCell ref="AA21:AA22"/>
    <mergeCell ref="C38:D38"/>
    <mergeCell ref="T38:Y38"/>
    <mergeCell ref="B57:E57"/>
    <mergeCell ref="AH69:AI69"/>
    <mergeCell ref="AG85:AL85"/>
    <mergeCell ref="AG100:AL100"/>
    <mergeCell ref="E125:F125"/>
    <mergeCell ref="AG84:AL84"/>
    <mergeCell ref="AB93:AB94"/>
    <mergeCell ref="AD93:AD94"/>
    <mergeCell ref="AG6:AL6"/>
    <mergeCell ref="AA93:AA94"/>
    <mergeCell ref="Q56:R56"/>
    <mergeCell ref="AG86:AL86"/>
    <mergeCell ref="T91:X91"/>
    <mergeCell ref="AD39:AD40"/>
    <mergeCell ref="T125:U125"/>
    <mergeCell ref="AG61:AL61"/>
    <mergeCell ref="C74:D74"/>
    <mergeCell ref="AJ3:AL3"/>
    <mergeCell ref="AG48:AL48"/>
    <mergeCell ref="E17:F17"/>
    <mergeCell ref="AH52:AI52"/>
    <mergeCell ref="AB21:AB22"/>
    <mergeCell ref="AG45:AL45"/>
    <mergeCell ref="E35:F35"/>
    <mergeCell ref="A75:A76"/>
    <mergeCell ref="L111:O111"/>
    <mergeCell ref="E56:H56"/>
    <mergeCell ref="AG103:AL103"/>
    <mergeCell ref="V3:Y3"/>
    <mergeCell ref="B75:E75"/>
    <mergeCell ref="A3:A4"/>
    <mergeCell ref="J107:K107"/>
    <mergeCell ref="AG76:AH76"/>
    <mergeCell ref="Q19:R19"/>
    <mergeCell ref="T89:U89"/>
    <mergeCell ref="AJ4:AL4"/>
    <mergeCell ref="AC93:AC94"/>
    <mergeCell ref="AG24:AL24"/>
    <mergeCell ref="C2:D2"/>
    <mergeCell ref="AH15:AI15"/>
    <mergeCell ref="AB57:AB58"/>
    <mergeCell ref="AA3:AA4"/>
    <mergeCell ref="AD57:AD58"/>
    <mergeCell ref="AG104:AL104"/>
    <mergeCell ref="AH51:AI51"/>
    <mergeCell ref="AC21:AC22"/>
    <mergeCell ref="AJ94:AL94"/>
    <mergeCell ref="B111:E111"/>
    <mergeCell ref="AG82:AL82"/>
    <mergeCell ref="G93:J93"/>
    <mergeCell ref="AG10:AL10"/>
    <mergeCell ref="G3:J3"/>
    <mergeCell ref="AG39:AH39"/>
    <mergeCell ref="AG50:AL50"/>
    <mergeCell ref="AG25:AL25"/>
    <mergeCell ref="AH16:AI16"/>
    <mergeCell ref="AG99:AL99"/>
    <mergeCell ref="AJ58:AL58"/>
    <mergeCell ref="AG9:AL9"/>
    <mergeCell ref="J17:K17"/>
    <mergeCell ref="AC75:AC7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tabColor rgb="FFFF6600"/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1" customWidth="1" style="84" min="1" max="7"/>
  </cols>
  <sheetData>
    <row r="1" ht="15" customHeight="1" s="85">
      <c r="A1" s="150" t="inlineStr">
        <is>
          <t>Sessões</t>
        </is>
      </c>
      <c r="B1" s="150" t="inlineStr">
        <is>
          <t>Sono</t>
        </is>
      </c>
      <c r="C1" s="150" t="inlineStr">
        <is>
          <t>Estresse</t>
        </is>
      </c>
      <c r="D1" s="150" t="inlineStr">
        <is>
          <t>Fadiga</t>
        </is>
      </c>
      <c r="E1" s="150" t="inlineStr">
        <is>
          <t>Dor muscular</t>
        </is>
      </c>
      <c r="F1" s="150" t="inlineStr">
        <is>
          <t>Média prontidão</t>
        </is>
      </c>
      <c r="G1" s="150" t="inlineStr">
        <is>
          <t>Potência (cm)</t>
        </is>
      </c>
    </row>
    <row r="2" ht="18" customHeight="1" s="85">
      <c r="A2" s="151" t="n"/>
      <c r="B2" s="151" t="n"/>
      <c r="C2" s="151" t="n"/>
      <c r="D2" s="151" t="n"/>
      <c r="E2" s="151" t="n"/>
      <c r="F2" s="151" t="n"/>
      <c r="G2" s="151" t="n"/>
    </row>
    <row r="3" ht="15" customHeight="1" s="85">
      <c r="A3" s="147" t="n">
        <v>1</v>
      </c>
      <c r="B3" s="147">
        <f>'SEM 1'!L2</f>
        <v/>
      </c>
      <c r="C3" s="147">
        <f>'SEM 1'!M2</f>
        <v/>
      </c>
      <c r="D3" s="147">
        <f>'SEM 1'!N2</f>
        <v/>
      </c>
      <c r="E3" s="147">
        <f>'SEM 1'!O2</f>
        <v/>
      </c>
      <c r="F3" s="152">
        <f>'SEM 1'!S2</f>
        <v/>
      </c>
      <c r="G3" s="153">
        <f>'SEM 1'!T2</f>
        <v/>
      </c>
    </row>
    <row r="4" ht="15" customHeight="1" s="85">
      <c r="A4" s="154" t="n">
        <v>2</v>
      </c>
      <c r="B4" s="154">
        <f>'SEM 1'!L20</f>
        <v/>
      </c>
      <c r="C4" s="154">
        <f>'SEM 1'!M20</f>
        <v/>
      </c>
      <c r="D4" s="154">
        <f>'SEM 1'!N20</f>
        <v/>
      </c>
      <c r="E4" s="154">
        <f>'SEM 1'!O20</f>
        <v/>
      </c>
      <c r="F4" s="155">
        <f>'SEM 1'!S20</f>
        <v/>
      </c>
      <c r="G4" s="154">
        <f>'SEM 1'!T20</f>
        <v/>
      </c>
    </row>
    <row r="5" ht="15" customHeight="1" s="85">
      <c r="A5" s="98" t="n">
        <v>3</v>
      </c>
      <c r="B5" s="98">
        <f>'SEM 1'!L38</f>
        <v/>
      </c>
      <c r="C5" s="98">
        <f>'SEM 1'!M38</f>
        <v/>
      </c>
      <c r="D5" s="98">
        <f>'SEM 1'!N38</f>
        <v/>
      </c>
      <c r="E5" s="98">
        <f>'SEM 1'!O38</f>
        <v/>
      </c>
      <c r="F5" s="156">
        <f>'SEM 1'!S38</f>
        <v/>
      </c>
      <c r="G5" s="98">
        <f>'SEM 1'!T38</f>
        <v/>
      </c>
    </row>
    <row r="6" ht="15" customHeight="1" s="85">
      <c r="A6" s="154" t="n">
        <v>4</v>
      </c>
      <c r="B6" s="154">
        <f>'SEM 1'!L56</f>
        <v/>
      </c>
      <c r="C6" s="154">
        <f>'SEM 1'!M56</f>
        <v/>
      </c>
      <c r="D6" s="154">
        <f>'SEM 1'!N56</f>
        <v/>
      </c>
      <c r="E6" s="154">
        <f>'SEM 1'!O56</f>
        <v/>
      </c>
      <c r="F6" s="155">
        <f>'SEM 1'!S56</f>
        <v/>
      </c>
      <c r="G6" s="154">
        <f>'SEM 1'!T56</f>
        <v/>
      </c>
    </row>
    <row r="7" ht="15" customHeight="1" s="85">
      <c r="A7" s="98" t="n">
        <v>5</v>
      </c>
      <c r="B7" s="98">
        <f>'SEM 1'!L74</f>
        <v/>
      </c>
      <c r="C7" s="98">
        <f>'SEM 1'!M74</f>
        <v/>
      </c>
      <c r="D7" s="98">
        <f>'SEM 1'!N74</f>
        <v/>
      </c>
      <c r="E7" s="98">
        <f>'SEM 1'!O74</f>
        <v/>
      </c>
      <c r="F7" s="156">
        <f>'SEM 1'!S74</f>
        <v/>
      </c>
      <c r="G7" s="98">
        <f>'SEM 1'!T74</f>
        <v/>
      </c>
    </row>
    <row r="8" ht="15" customHeight="1" s="85">
      <c r="A8" s="154" t="n">
        <v>6</v>
      </c>
      <c r="B8" s="155">
        <f>'SEM 1'!S92</f>
        <v/>
      </c>
      <c r="C8" s="154">
        <f>'SEM 1'!M92</f>
        <v/>
      </c>
      <c r="D8" s="154">
        <f>'SEM 1'!N92</f>
        <v/>
      </c>
      <c r="E8" s="154">
        <f>'SEM 1'!O92</f>
        <v/>
      </c>
      <c r="F8" s="155">
        <f>'SEM 1'!S92</f>
        <v/>
      </c>
      <c r="G8" s="154">
        <f>'SEM 1'!T92</f>
        <v/>
      </c>
    </row>
    <row r="9" ht="15" customHeight="1" s="85">
      <c r="A9" s="98" t="n">
        <v>7</v>
      </c>
      <c r="B9" s="98">
        <f>'SEM 1'!L110</f>
        <v/>
      </c>
      <c r="C9" s="98">
        <f>'SEM 1'!M110</f>
        <v/>
      </c>
      <c r="D9" s="98">
        <f>'SEM 1'!N110</f>
        <v/>
      </c>
      <c r="E9" s="98">
        <f>'SEM 1'!O110</f>
        <v/>
      </c>
      <c r="F9" s="156">
        <f>'SEM 1'!S110</f>
        <v/>
      </c>
      <c r="G9" s="98">
        <f>'SEM 1'!T110</f>
        <v/>
      </c>
    </row>
    <row r="10" ht="15" customHeight="1" s="85">
      <c r="A10" s="154" t="n">
        <v>8</v>
      </c>
      <c r="B10" s="154">
        <f>'SEM 2'!L2</f>
        <v/>
      </c>
      <c r="C10" s="154">
        <f>'SEM 2'!M2</f>
        <v/>
      </c>
      <c r="D10" s="154">
        <f>'SEM 2'!N2</f>
        <v/>
      </c>
      <c r="E10" s="154">
        <f>'SEM 2'!O2</f>
        <v/>
      </c>
      <c r="F10" s="155">
        <f>'SEM 2'!S2</f>
        <v/>
      </c>
      <c r="G10" s="154">
        <f>'SEM 2'!T2</f>
        <v/>
      </c>
    </row>
    <row r="11" ht="15" customHeight="1" s="85">
      <c r="A11" s="98" t="n">
        <v>9</v>
      </c>
      <c r="B11" s="98">
        <f>'SEM 2'!L20</f>
        <v/>
      </c>
      <c r="C11" s="98">
        <f>'SEM 2'!M20</f>
        <v/>
      </c>
      <c r="D11" s="98">
        <f>'SEM 2'!N20</f>
        <v/>
      </c>
      <c r="E11" s="98">
        <f>'SEM 2'!O20</f>
        <v/>
      </c>
      <c r="F11" s="156">
        <f>'SEM 2'!S20</f>
        <v/>
      </c>
      <c r="G11" s="98">
        <f>'SEM 2'!T20</f>
        <v/>
      </c>
    </row>
    <row r="12" ht="15" customHeight="1" s="85">
      <c r="A12" s="154" t="n">
        <v>10</v>
      </c>
      <c r="B12" s="154">
        <f>'SEM 2'!L38</f>
        <v/>
      </c>
      <c r="C12" s="154">
        <f>'SEM 2'!M38</f>
        <v/>
      </c>
      <c r="D12" s="154">
        <f>'SEM 2'!N38</f>
        <v/>
      </c>
      <c r="E12" s="154">
        <f>'SEM 2'!O38</f>
        <v/>
      </c>
      <c r="F12" s="155">
        <f>'SEM 2'!S38</f>
        <v/>
      </c>
      <c r="G12" s="154">
        <f>'SEM 2'!T38</f>
        <v/>
      </c>
    </row>
    <row r="13" ht="15" customHeight="1" s="85">
      <c r="A13" s="98" t="n">
        <v>11</v>
      </c>
      <c r="B13" s="98">
        <f>'SEM 2'!L56</f>
        <v/>
      </c>
      <c r="C13" s="98">
        <f>'SEM 2'!M56</f>
        <v/>
      </c>
      <c r="D13" s="98">
        <f>'SEM 2'!N56</f>
        <v/>
      </c>
      <c r="E13" s="98">
        <f>'SEM 2'!O56</f>
        <v/>
      </c>
      <c r="F13" s="156">
        <f>'SEM 2'!S56</f>
        <v/>
      </c>
      <c r="G13" s="98">
        <f>'SEM 2'!T56</f>
        <v/>
      </c>
    </row>
    <row r="14" ht="15" customHeight="1" s="85">
      <c r="A14" s="154" t="n">
        <v>12</v>
      </c>
      <c r="B14" s="154">
        <f>'SEM 2'!L74</f>
        <v/>
      </c>
      <c r="C14" s="154">
        <f>'SEM 2'!M74</f>
        <v/>
      </c>
      <c r="D14" s="154">
        <f>'SEM 2'!N74</f>
        <v/>
      </c>
      <c r="E14" s="154">
        <f>'SEM 2'!O74</f>
        <v/>
      </c>
      <c r="F14" s="155">
        <f>'SEM 2'!S74</f>
        <v/>
      </c>
      <c r="G14" s="154">
        <f>'SEM 2'!T74</f>
        <v/>
      </c>
    </row>
    <row r="15" ht="15" customHeight="1" s="85">
      <c r="A15" s="147" t="n">
        <v>13</v>
      </c>
      <c r="B15" s="147">
        <f>'SEM 2'!L92</f>
        <v/>
      </c>
      <c r="C15" s="147">
        <f>'SEM 2'!M92</f>
        <v/>
      </c>
      <c r="D15" s="147">
        <f>'SEM 2'!N92</f>
        <v/>
      </c>
      <c r="E15" s="147">
        <f>'SEM 2'!O92</f>
        <v/>
      </c>
      <c r="F15" s="152">
        <f>'SEM 2'!S92</f>
        <v/>
      </c>
      <c r="G15" s="147">
        <f>'SEM 2'!T92</f>
        <v/>
      </c>
    </row>
    <row r="16" ht="15" customHeight="1" s="85">
      <c r="A16" s="154" t="n">
        <v>14</v>
      </c>
      <c r="B16" s="154">
        <f>'SEM 2'!L110</f>
        <v/>
      </c>
      <c r="C16" s="154">
        <f>'SEM 2'!M110</f>
        <v/>
      </c>
      <c r="D16" s="154">
        <f>'SEM 2'!N110</f>
        <v/>
      </c>
      <c r="E16" s="154">
        <f>'SEM 2'!O110</f>
        <v/>
      </c>
      <c r="F16" s="155">
        <f>'SEM 2'!S110</f>
        <v/>
      </c>
      <c r="G16" s="154">
        <f>'SEM 2'!T110</f>
        <v/>
      </c>
    </row>
    <row r="17" ht="15" customHeight="1" s="85">
      <c r="A17" s="98" t="n">
        <v>15</v>
      </c>
      <c r="B17" s="98">
        <f>'SEM 3'!L2</f>
        <v/>
      </c>
      <c r="C17" s="98">
        <f>'SEM 3'!M2</f>
        <v/>
      </c>
      <c r="D17" s="98">
        <f>'SEM 3'!N2</f>
        <v/>
      </c>
      <c r="E17" s="98">
        <f>'SEM 3'!O2</f>
        <v/>
      </c>
      <c r="F17" s="156">
        <f>'SEM 3'!S2</f>
        <v/>
      </c>
      <c r="G17" s="98">
        <f>'SEM 3'!T2</f>
        <v/>
      </c>
    </row>
    <row r="18" ht="15" customHeight="1" s="85">
      <c r="A18" s="154" t="n">
        <v>16</v>
      </c>
      <c r="B18" s="154">
        <f>'SEM 3'!L20</f>
        <v/>
      </c>
      <c r="C18" s="154">
        <f>'SEM 3'!M20</f>
        <v/>
      </c>
      <c r="D18" s="154">
        <f>'SEM 3'!N20</f>
        <v/>
      </c>
      <c r="E18" s="154">
        <f>'SEM 3'!O20</f>
        <v/>
      </c>
      <c r="F18" s="155">
        <f>'SEM 3'!S20</f>
        <v/>
      </c>
      <c r="G18" s="154">
        <f>'SEM 3'!T20</f>
        <v/>
      </c>
    </row>
    <row r="19" ht="15" customHeight="1" s="85">
      <c r="A19" s="98" t="n">
        <v>17</v>
      </c>
      <c r="B19" s="98">
        <f>'SEM 3'!L38</f>
        <v/>
      </c>
      <c r="C19" s="98">
        <f>'SEM 3'!M38</f>
        <v/>
      </c>
      <c r="D19" s="98">
        <f>'SEM 3'!N38</f>
        <v/>
      </c>
      <c r="E19" s="98">
        <f>'SEM 3'!O38</f>
        <v/>
      </c>
      <c r="F19" s="156">
        <f>'SEM 3'!S38</f>
        <v/>
      </c>
      <c r="G19" s="98">
        <f>'SEM 3'!T38</f>
        <v/>
      </c>
    </row>
    <row r="20" ht="15" customHeight="1" s="85">
      <c r="A20" s="154" t="n">
        <v>18</v>
      </c>
      <c r="B20" s="154">
        <f>'SEM 3'!L2</f>
        <v/>
      </c>
      <c r="C20" s="154">
        <f>'SEM 3'!M2</f>
        <v/>
      </c>
      <c r="D20" s="154">
        <f>'SEM 3'!N2</f>
        <v/>
      </c>
      <c r="E20" s="154">
        <f>'SEM 3'!O2</f>
        <v/>
      </c>
      <c r="F20" s="155">
        <f>'SEM 3'!S2</f>
        <v/>
      </c>
      <c r="G20" s="154">
        <f>'SEM 3'!T2</f>
        <v/>
      </c>
    </row>
    <row r="21" ht="15.75" customHeight="1" s="85">
      <c r="A21" s="98" t="n">
        <v>19</v>
      </c>
      <c r="B21" s="98">
        <f>'SEM 3'!L20</f>
        <v/>
      </c>
      <c r="C21" s="98">
        <f>'SEM 3'!M20</f>
        <v/>
      </c>
      <c r="D21" s="98">
        <f>'SEM 3'!N20</f>
        <v/>
      </c>
      <c r="E21" s="98">
        <f>'SEM 3'!O20</f>
        <v/>
      </c>
      <c r="F21" s="156">
        <f>'SEM 3'!S20</f>
        <v/>
      </c>
      <c r="G21" s="98">
        <f>'SEM 3'!T20</f>
        <v/>
      </c>
    </row>
    <row r="22" ht="15.75" customHeight="1" s="85">
      <c r="A22" s="154" t="n">
        <v>20</v>
      </c>
      <c r="B22" s="154">
        <f>'SEM 3'!L38</f>
        <v/>
      </c>
      <c r="C22" s="154">
        <f>'SEM 3'!M38</f>
        <v/>
      </c>
      <c r="D22" s="154">
        <f>'SEM 3'!N38</f>
        <v/>
      </c>
      <c r="E22" s="154">
        <f>'SEM 3'!O38</f>
        <v/>
      </c>
      <c r="F22" s="155">
        <f>'SEM 3'!S38</f>
        <v/>
      </c>
      <c r="G22" s="154">
        <f>'SEM 3'!T38</f>
        <v/>
      </c>
    </row>
    <row r="23" ht="15.75" customHeight="1" s="85">
      <c r="A23" s="98" t="n">
        <v>21</v>
      </c>
      <c r="B23" s="98">
        <f>'SEM 3'!L56</f>
        <v/>
      </c>
      <c r="C23" s="98">
        <f>'SEM 3'!M56</f>
        <v/>
      </c>
      <c r="D23" s="98">
        <f>'SEM 3'!N56</f>
        <v/>
      </c>
      <c r="E23" s="98">
        <f>'SEM 3'!O56</f>
        <v/>
      </c>
      <c r="F23" s="156">
        <f>'SEM 3'!S56</f>
        <v/>
      </c>
      <c r="G23" s="98">
        <f>'SEM 3'!T56</f>
        <v/>
      </c>
    </row>
    <row r="24" ht="15.75" customHeight="1" s="85">
      <c r="A24" s="154" t="n">
        <v>22</v>
      </c>
      <c r="B24" s="98">
        <f>'SEM 4'!L2</f>
        <v/>
      </c>
      <c r="C24" s="98">
        <f>'SEM 4'!M2</f>
        <v/>
      </c>
      <c r="D24" s="98">
        <f>'SEM 4'!N2</f>
        <v/>
      </c>
      <c r="E24" s="98">
        <f>'SEM 4'!O2</f>
        <v/>
      </c>
      <c r="F24" s="156">
        <f>'SEM 4'!S2</f>
        <v/>
      </c>
      <c r="G24" s="98">
        <f>'SEM 4'!T2</f>
        <v/>
      </c>
    </row>
    <row r="25" ht="15.75" customHeight="1" s="85">
      <c r="A25" s="98" t="n">
        <v>23</v>
      </c>
      <c r="B25" s="154">
        <f>'SEM 4'!L20</f>
        <v/>
      </c>
      <c r="C25" s="154">
        <f>'SEM 4'!M20</f>
        <v/>
      </c>
      <c r="D25" s="154">
        <f>'SEM 4'!N20</f>
        <v/>
      </c>
      <c r="E25" s="154">
        <f>'SEM 4'!O20</f>
        <v/>
      </c>
      <c r="F25" s="155">
        <f>'SEM 4'!S20</f>
        <v/>
      </c>
      <c r="G25" s="154">
        <f>'SEM 4'!T20</f>
        <v/>
      </c>
    </row>
    <row r="26" ht="15.75" customHeight="1" s="85">
      <c r="A26" s="154" t="n">
        <v>24</v>
      </c>
      <c r="B26" s="98">
        <f>'SEM 4'!L38</f>
        <v/>
      </c>
      <c r="C26" s="98">
        <f>'SEM 4'!M38</f>
        <v/>
      </c>
      <c r="D26" s="98">
        <f>'SEM 4'!N38</f>
        <v/>
      </c>
      <c r="E26" s="98">
        <f>'SEM 4'!O38</f>
        <v/>
      </c>
      <c r="F26" s="156">
        <f>'SEM 4'!S38</f>
        <v/>
      </c>
      <c r="G26" s="98">
        <f>'SEM 4'!T38</f>
        <v/>
      </c>
    </row>
    <row r="27" ht="15.75" customHeight="1" s="85">
      <c r="A27" s="147" t="n">
        <v>25</v>
      </c>
      <c r="B27" s="154">
        <f>'SEM 4'!L56</f>
        <v/>
      </c>
      <c r="C27" s="154">
        <f>'SEM 4'!M56</f>
        <v/>
      </c>
      <c r="D27" s="154">
        <f>'SEM 4'!N56</f>
        <v/>
      </c>
      <c r="E27" s="154">
        <f>'SEM 4'!O56</f>
        <v/>
      </c>
      <c r="F27" s="155">
        <f>'SEM 4'!S56</f>
        <v/>
      </c>
      <c r="G27" s="154">
        <f>'SEM 4'!T56</f>
        <v/>
      </c>
    </row>
    <row r="28" ht="15.75" customHeight="1" s="85">
      <c r="A28" s="154" t="n">
        <v>26</v>
      </c>
      <c r="B28" s="98">
        <f>'SEM 4'!L74</f>
        <v/>
      </c>
      <c r="C28" s="98">
        <f>'SEM 4'!M74</f>
        <v/>
      </c>
      <c r="D28" s="98">
        <f>'SEM 4'!N74</f>
        <v/>
      </c>
      <c r="E28" s="98">
        <f>'SEM 4'!O74</f>
        <v/>
      </c>
      <c r="F28" s="156">
        <f>'SEM 4'!S74</f>
        <v/>
      </c>
      <c r="G28" s="98">
        <f>'SEM 4'!T74</f>
        <v/>
      </c>
    </row>
    <row r="29" ht="15.75" customHeight="1" s="85">
      <c r="A29" s="98" t="n">
        <v>27</v>
      </c>
      <c r="B29" s="154">
        <f>'SEM 4'!L92</f>
        <v/>
      </c>
      <c r="C29" s="154">
        <f>'SEM 4'!M92</f>
        <v/>
      </c>
      <c r="D29" s="154">
        <f>'SEM 4'!N92</f>
        <v/>
      </c>
      <c r="E29" s="154">
        <f>'SEM 4'!O92</f>
        <v/>
      </c>
      <c r="F29" s="155">
        <f>'SEM 4'!S92</f>
        <v/>
      </c>
      <c r="G29" s="154">
        <f>'SEM 4'!T92</f>
        <v/>
      </c>
    </row>
    <row r="30" ht="15.75" customHeight="1" s="85">
      <c r="A30" s="154" t="n">
        <v>28</v>
      </c>
      <c r="B30" s="98">
        <f>'SEM 4'!L110</f>
        <v/>
      </c>
      <c r="C30" s="98">
        <f>'SEM 4'!M110</f>
        <v/>
      </c>
      <c r="D30" s="98">
        <f>'SEM 4'!N110</f>
        <v/>
      </c>
      <c r="E30" s="98">
        <f>'SEM 4'!O110</f>
        <v/>
      </c>
      <c r="F30" s="156">
        <f>'SEM 4'!S110</f>
        <v/>
      </c>
      <c r="G30" s="98">
        <f>'SEM 4'!T110</f>
        <v/>
      </c>
    </row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7">
    <mergeCell ref="C1:C2"/>
    <mergeCell ref="B1:B2"/>
    <mergeCell ref="D1:D2"/>
    <mergeCell ref="F1:F2"/>
    <mergeCell ref="E1:E2"/>
    <mergeCell ref="G1:G2"/>
    <mergeCell ref="A1:A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FFD965"/>
    <outlinePr summaryBelow="1" summaryRight="1"/>
    <pageSetUpPr fitToPage="0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84" min="1" max="6"/>
  </cols>
  <sheetData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339933"/>
    <outlinePr summaryBelow="1" summaryRight="1"/>
    <pageSetUpPr fitToPage="0"/>
  </sheetPr>
  <dimension ref="A1:AO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0.14" customWidth="1" style="84" min="1" max="1"/>
    <col width="7.16" customWidth="1" style="84" min="2" max="22"/>
    <col width="9" customWidth="1" style="84" min="23" max="25"/>
    <col width="10.85" customWidth="1" style="84" min="26" max="26"/>
    <col width="9" customWidth="1" style="84" min="27" max="27"/>
    <col width="1.14" customWidth="1" style="84" min="28" max="28"/>
    <col width="1.57" customWidth="1" style="84" min="29" max="29"/>
    <col width="1.43" customWidth="1" style="84" min="30" max="30"/>
    <col width="9" customWidth="1" style="84" min="31" max="41"/>
  </cols>
  <sheetData>
    <row r="1" ht="15" customHeight="1" s="85">
      <c r="A1" s="150" t="inlineStr">
        <is>
          <t>Semanas</t>
        </is>
      </c>
      <c r="B1" s="150" t="inlineStr">
        <is>
          <t>SEG</t>
        </is>
      </c>
      <c r="C1" s="157" t="n"/>
      <c r="D1" s="158" t="n"/>
      <c r="E1" s="150" t="inlineStr">
        <is>
          <t>TER</t>
        </is>
      </c>
      <c r="F1" s="157" t="n"/>
      <c r="G1" s="158" t="n"/>
      <c r="H1" s="150" t="inlineStr">
        <is>
          <t>QUA</t>
        </is>
      </c>
      <c r="I1" s="157" t="n"/>
      <c r="J1" s="158" t="n"/>
      <c r="K1" s="150" t="inlineStr">
        <is>
          <t>QUI</t>
        </is>
      </c>
      <c r="L1" s="157" t="n"/>
      <c r="M1" s="158" t="n"/>
      <c r="N1" s="150" t="inlineStr">
        <is>
          <t>SEX</t>
        </is>
      </c>
      <c r="O1" s="157" t="n"/>
      <c r="P1" s="158" t="n"/>
      <c r="Q1" s="150" t="inlineStr">
        <is>
          <t>SÁB</t>
        </is>
      </c>
      <c r="R1" s="157" t="n"/>
      <c r="S1" s="158" t="n"/>
      <c r="T1" s="150" t="inlineStr">
        <is>
          <t>DOM</t>
        </is>
      </c>
      <c r="U1" s="157" t="n"/>
      <c r="V1" s="158" t="n"/>
      <c r="W1" s="150" t="inlineStr">
        <is>
          <t>VTT SEMANA</t>
        </is>
      </c>
      <c r="X1" s="150" t="inlineStr">
        <is>
          <t>Carga mínima (U.A)</t>
        </is>
      </c>
      <c r="Y1" s="150" t="inlineStr">
        <is>
          <t>Carga máxima (U.A)</t>
        </is>
      </c>
      <c r="Z1" s="150" t="inlineStr">
        <is>
          <t>MONOT</t>
        </is>
      </c>
      <c r="AA1" s="159" t="inlineStr">
        <is>
          <t>STRAIN</t>
        </is>
      </c>
      <c r="AB1" s="160" t="n"/>
      <c r="AC1" s="138" t="n"/>
      <c r="AD1" s="138" t="n"/>
      <c r="AE1" s="161" t="inlineStr">
        <is>
          <t>CARGA INTERNA TOTAL SEMANA</t>
        </is>
      </c>
      <c r="AF1" s="160" t="inlineStr">
        <is>
          <t>MONOT</t>
        </is>
      </c>
      <c r="AG1" s="160" t="inlineStr">
        <is>
          <t>STRAIN</t>
        </is>
      </c>
      <c r="AH1" s="161" t="inlineStr">
        <is>
          <t>CARGA INTERNA TOTAL SEMANA</t>
        </is>
      </c>
      <c r="AI1" s="162" t="inlineStr">
        <is>
          <t>MONOT</t>
        </is>
      </c>
      <c r="AJ1" s="159" t="inlineStr">
        <is>
          <t>STRAIN</t>
        </is>
      </c>
      <c r="AK1" s="97" t="n"/>
      <c r="AL1" s="97" t="n"/>
      <c r="AM1" s="97" t="n"/>
      <c r="AN1" s="97" t="n"/>
      <c r="AO1" s="97" t="n"/>
    </row>
    <row r="2" ht="42.75" customHeight="1" s="85">
      <c r="A2" s="151" t="n"/>
      <c r="B2" s="163" t="inlineStr">
        <is>
          <t>PSE-S</t>
        </is>
      </c>
      <c r="C2" s="163" t="inlineStr">
        <is>
          <t>Tempo (min)</t>
        </is>
      </c>
      <c r="D2" s="163" t="inlineStr">
        <is>
          <t>Carga treino (U.A)</t>
        </is>
      </c>
      <c r="E2" s="163" t="inlineStr">
        <is>
          <t>PSE-S</t>
        </is>
      </c>
      <c r="F2" s="163" t="inlineStr">
        <is>
          <t>Tempo (min)</t>
        </is>
      </c>
      <c r="G2" s="163" t="inlineStr">
        <is>
          <t>Carga treino (U.A)</t>
        </is>
      </c>
      <c r="H2" s="163" t="inlineStr">
        <is>
          <t>PSE-S</t>
        </is>
      </c>
      <c r="I2" s="163" t="inlineStr">
        <is>
          <t>Tempo (min)</t>
        </is>
      </c>
      <c r="J2" s="163" t="inlineStr">
        <is>
          <t>Carga treino (U.A)</t>
        </is>
      </c>
      <c r="K2" s="163" t="inlineStr">
        <is>
          <t>PSE-S</t>
        </is>
      </c>
      <c r="L2" s="163" t="inlineStr">
        <is>
          <t>Tempo (min)</t>
        </is>
      </c>
      <c r="M2" s="163" t="inlineStr">
        <is>
          <t>Carga treino (U.A)</t>
        </is>
      </c>
      <c r="N2" s="163" t="inlineStr">
        <is>
          <t>PSE-S</t>
        </is>
      </c>
      <c r="O2" s="163" t="inlineStr">
        <is>
          <t>Tempo (min)</t>
        </is>
      </c>
      <c r="P2" s="163" t="inlineStr">
        <is>
          <t>Carga treino (U.A)</t>
        </is>
      </c>
      <c r="Q2" s="163" t="inlineStr">
        <is>
          <t>PSE-S</t>
        </is>
      </c>
      <c r="R2" s="163" t="inlineStr">
        <is>
          <t>Tempo (min)</t>
        </is>
      </c>
      <c r="S2" s="163" t="inlineStr">
        <is>
          <t>Carga treino (U.A)</t>
        </is>
      </c>
      <c r="T2" s="163" t="inlineStr">
        <is>
          <t>PSE-S</t>
        </is>
      </c>
      <c r="U2" s="163" t="inlineStr">
        <is>
          <t>Tempo (min)</t>
        </is>
      </c>
      <c r="V2" s="163" t="inlineStr">
        <is>
          <t>Carga treino (U.A)</t>
        </is>
      </c>
      <c r="W2" s="151" t="n"/>
      <c r="X2" s="151" t="n"/>
      <c r="Y2" s="151" t="n"/>
      <c r="Z2" s="151" t="n"/>
      <c r="AA2" s="164" t="n"/>
      <c r="AB2" s="160" t="inlineStr">
        <is>
          <t>Semanas</t>
        </is>
      </c>
      <c r="AC2" s="138" t="n"/>
      <c r="AD2" s="138" t="n"/>
      <c r="AE2" s="126" t="n"/>
      <c r="AH2" s="126" t="n"/>
      <c r="AI2" s="165" t="n"/>
      <c r="AJ2" s="164" t="n"/>
      <c r="AK2" s="97" t="n"/>
      <c r="AL2" s="97" t="n"/>
      <c r="AM2" s="97" t="n"/>
      <c r="AN2" s="97" t="n"/>
      <c r="AO2" s="97" t="n"/>
    </row>
    <row r="3" ht="28.5" customHeight="1" s="85">
      <c r="A3" s="147" t="n">
        <v>1</v>
      </c>
      <c r="B3" s="148">
        <f>IFERROR('SEM 1'!AE5,"")</f>
        <v/>
      </c>
      <c r="C3" s="148">
        <f>IFERROR('SEM 1'!AG7,"")</f>
        <v/>
      </c>
      <c r="D3" s="108">
        <f>IFERROR(B3*C3,"")</f>
        <v/>
      </c>
      <c r="E3" s="148">
        <f>IFERROR('SEM 1'!AE23,"")</f>
        <v/>
      </c>
      <c r="F3" s="148">
        <f>IFERROR('SEM 1'!AG25,"")</f>
        <v/>
      </c>
      <c r="G3" s="147">
        <f>IFERROR(E3*F3,"")</f>
        <v/>
      </c>
      <c r="H3" s="148">
        <f>IFERROR('SEM 1'!AE41,"")</f>
        <v/>
      </c>
      <c r="I3" s="148">
        <f>IFERROR('SEM 1'!AG43,"")</f>
        <v/>
      </c>
      <c r="J3" s="147">
        <f>IFERROR(H3*I3,"")</f>
        <v/>
      </c>
      <c r="K3" s="148">
        <f>IFERROR('SEM 1'!AE59,"")</f>
        <v/>
      </c>
      <c r="L3" s="148">
        <f>IFERROR('SEM 1'!AG61,"")</f>
        <v/>
      </c>
      <c r="M3" s="147">
        <f>IFERROR(K3*L3,"")</f>
        <v/>
      </c>
      <c r="N3" s="148">
        <f>IFERROR('SEM 1'!AE77,"")</f>
        <v/>
      </c>
      <c r="O3" s="148">
        <f>IFERROR('SEM 1'!AG79,"")</f>
        <v/>
      </c>
      <c r="P3" s="147">
        <f>IFERROR(N3*O3,"")</f>
        <v/>
      </c>
      <c r="Q3" s="148">
        <f>IFERROR('SEM 1'!AE95,"")</f>
        <v/>
      </c>
      <c r="R3" s="148">
        <f>IFERROR('SEM 1'!AG97,"")</f>
        <v/>
      </c>
      <c r="S3" s="147">
        <f>IFERROR(Q3*R3,"")</f>
        <v/>
      </c>
      <c r="T3" s="148">
        <f>IFERROR('SEM 1'!AE113,"")</f>
        <v/>
      </c>
      <c r="U3" s="148">
        <f>IFERROR('SEM 1'!AG115,"")</f>
        <v/>
      </c>
      <c r="V3" s="147">
        <f>IFERROR(T3*U3,"")</f>
        <v/>
      </c>
      <c r="W3" s="149">
        <f>IFERROR('C.E DIÁRIA E SEMANAL'!I3,"")</f>
        <v/>
      </c>
      <c r="X3" s="149">
        <f>IFERROR(MIN(D3,G3,J3,M3,P3,S3,V3),"")</f>
        <v/>
      </c>
      <c r="Y3" s="149">
        <f>IFERROR(MAX(D3,G3,J3,M3,P3,S3,V3),"")</f>
        <v/>
      </c>
      <c r="Z3" s="166">
        <f>IFERROR(AC3/AD3,"")</f>
        <v/>
      </c>
      <c r="AA3" s="167">
        <f>IFERROR(AE3*Z3,"")</f>
        <v/>
      </c>
      <c r="AB3" s="168" t="n">
        <v>1</v>
      </c>
      <c r="AC3" s="138">
        <f>IFERROR(AVERAGE(D3,G3,J3,M3,P3,S3,V3),"")</f>
        <v/>
      </c>
      <c r="AD3" s="138">
        <f>IFERROR(STDEV(D3,G3,J3,M3,P3,S3,V3),"")</f>
        <v/>
      </c>
      <c r="AE3" s="122">
        <f>IFERROR(D3+G3+J3+M3+P3+S3+V3,"")</f>
        <v/>
      </c>
      <c r="AF3" s="169">
        <f>IFERROR(Z3,"")</f>
        <v/>
      </c>
      <c r="AG3" s="168">
        <f>IFERROR(AA3,"")</f>
        <v/>
      </c>
      <c r="AH3" s="122">
        <f>IFERROR(AE3,"")</f>
        <v/>
      </c>
      <c r="AI3" s="170">
        <f>IFERROR(Z3,"")</f>
        <v/>
      </c>
      <c r="AJ3" s="167">
        <f>IFERROR(AA3,"")</f>
        <v/>
      </c>
      <c r="AK3" s="97" t="n"/>
      <c r="AL3" s="97" t="n"/>
      <c r="AM3" s="97" t="n"/>
      <c r="AN3" s="97" t="n"/>
      <c r="AO3" s="97" t="n"/>
    </row>
    <row r="4" ht="28.5" customHeight="1" s="85">
      <c r="A4" s="154" t="n">
        <v>2</v>
      </c>
      <c r="B4" s="171">
        <f>IFERROR('SEM 2'!AE5,"")</f>
        <v/>
      </c>
      <c r="C4" s="124">
        <f>IFERROR('SEM 2'!AG7,"")</f>
        <v/>
      </c>
      <c r="D4" s="172">
        <f>IFERROR(B4*C4,"")</f>
        <v/>
      </c>
      <c r="E4" s="124">
        <f>IFERROR('SEM 2'!AE23,"")</f>
        <v/>
      </c>
      <c r="F4" s="124">
        <f>IFERROR('SEM 2'!AG25,"")</f>
        <v/>
      </c>
      <c r="G4" s="154">
        <f>IFERROR(E4*F4,"")</f>
        <v/>
      </c>
      <c r="H4" s="124">
        <f>IFERROR('SEM 2'!AE41,"")</f>
        <v/>
      </c>
      <c r="I4" s="124">
        <f>IFERROR('SEM 2'!AG43,"")</f>
        <v/>
      </c>
      <c r="J4" s="154">
        <f>IFERROR(H4*I4,"")</f>
        <v/>
      </c>
      <c r="K4" s="124">
        <f>IFERROR('SEM 2'!AE59,"")</f>
        <v/>
      </c>
      <c r="L4" s="124">
        <f>IFERROR('SEM 2'!AG61,"")</f>
        <v/>
      </c>
      <c r="M4" s="154">
        <f>IFERROR(K4*L4,"")</f>
        <v/>
      </c>
      <c r="N4" s="124">
        <f>IFERROR('SEM 2'!AE77,"")</f>
        <v/>
      </c>
      <c r="O4" s="124">
        <f>IFERROR('SEM 2'!AG79,"")</f>
        <v/>
      </c>
      <c r="P4" s="154">
        <f>IFERROR(N4*O4,"")</f>
        <v/>
      </c>
      <c r="Q4" s="124">
        <f>IFERROR('SEM 2'!AE95,"")</f>
        <v/>
      </c>
      <c r="R4" s="124">
        <f>IFERROR('SEM 2'!AG97,"")</f>
        <v/>
      </c>
      <c r="S4" s="154">
        <f>IFERROR(Q4*R4,"")</f>
        <v/>
      </c>
      <c r="T4" s="124">
        <f>IFERROR('SEM 2'!AE113,"")</f>
        <v/>
      </c>
      <c r="U4" s="124">
        <f>IFERROR('SEM 2'!AG115,"")</f>
        <v/>
      </c>
      <c r="V4" s="154">
        <f>IFERROR(T4*U4,"")</f>
        <v/>
      </c>
      <c r="W4" s="125">
        <f>IFERROR('C.E DIÁRIA E SEMANAL'!I4,"")</f>
        <v/>
      </c>
      <c r="X4" s="173">
        <f>IFERROR(MIN(D4,G4,J4,M4,P4,S4,V4),"")</f>
        <v/>
      </c>
      <c r="Y4" s="173">
        <f>IFERROR(MAX(D4,G4,J4,M4,P4,S4,V4),"")</f>
        <v/>
      </c>
      <c r="Z4" s="174">
        <f>IFERROR(AC4/AD4,"")</f>
        <v/>
      </c>
      <c r="AA4" s="175">
        <f>IFERROR(AE4*Z4,"")</f>
        <v/>
      </c>
      <c r="AB4" s="168" t="n">
        <v>2</v>
      </c>
      <c r="AC4" s="138">
        <f>IFERROR(AVERAGE(D4,G4,J4,M4,P4,S4,V4),"")</f>
        <v/>
      </c>
      <c r="AD4" s="138">
        <f>IFERROR(STDEV(D4,G4,J4,M4,P4,S4,V4),"")</f>
        <v/>
      </c>
      <c r="AE4" s="122">
        <f>IFERROR(D4+G4+J4+M4+P4+S4+V4,"")</f>
        <v/>
      </c>
      <c r="AF4" s="169">
        <f>IFERROR(Z4,"")</f>
        <v/>
      </c>
      <c r="AG4" s="168">
        <f>IFERROR(AA4,"")</f>
        <v/>
      </c>
      <c r="AH4" s="122">
        <f>IFERROR(AE4,"")</f>
        <v/>
      </c>
      <c r="AI4" s="170">
        <f>IFERROR(Z4,"")</f>
        <v/>
      </c>
      <c r="AJ4" s="167">
        <f>IFERROR(AA4,"")</f>
        <v/>
      </c>
      <c r="AK4" s="97" t="n"/>
      <c r="AL4" s="97" t="n"/>
      <c r="AM4" s="97" t="n"/>
      <c r="AN4" s="97" t="n"/>
      <c r="AO4" s="97" t="n"/>
    </row>
    <row r="5" ht="28.5" customHeight="1" s="85">
      <c r="A5" s="98" t="n">
        <v>3</v>
      </c>
      <c r="B5" s="148">
        <f>IFERROR('SEM 3'!AE5,"")</f>
        <v/>
      </c>
      <c r="C5" s="121">
        <f>IFERROR('SEM 3'!AG7,"")</f>
        <v/>
      </c>
      <c r="D5" s="94">
        <f>IFERROR(B5*C5,"")</f>
        <v/>
      </c>
      <c r="E5" s="121">
        <f>IFERROR('SEM 3'!AE23,"")</f>
        <v/>
      </c>
      <c r="F5" s="121">
        <f>IFERROR('SEM 3'!AG25,"")</f>
        <v/>
      </c>
      <c r="G5" s="98">
        <f>IFERROR(E5*F5,"")</f>
        <v/>
      </c>
      <c r="H5" s="121">
        <f>IFERROR('SEM 3'!AE41,"")</f>
        <v/>
      </c>
      <c r="I5" s="121">
        <f>IFERROR('SEM 3'!AG43,"")</f>
        <v/>
      </c>
      <c r="J5" s="98">
        <f>IFERROR(H5*I5,"")</f>
        <v/>
      </c>
      <c r="K5" s="121">
        <f>IFERROR('SEM 3'!AE59,"")</f>
        <v/>
      </c>
      <c r="L5" s="121">
        <f>IFERROR('SEM 3'!AG61,"")</f>
        <v/>
      </c>
      <c r="M5" s="98">
        <f>IFERROR(K5*L5,"")</f>
        <v/>
      </c>
      <c r="N5" s="121">
        <f>IFERROR('SEM 3'!AE77,"")</f>
        <v/>
      </c>
      <c r="O5" s="121">
        <f>IFERROR('SEM 3'!AG79,"")</f>
        <v/>
      </c>
      <c r="P5" s="98">
        <f>IFERROR(N5*O5,"")</f>
        <v/>
      </c>
      <c r="Q5" s="121">
        <f>IFERROR('SEM 3'!AE95,"")</f>
        <v/>
      </c>
      <c r="R5" s="121">
        <f>IFERROR('SEM 3'!AG97,"")</f>
        <v/>
      </c>
      <c r="S5" s="98">
        <f>IFERROR(Q5*R5,"")</f>
        <v/>
      </c>
      <c r="T5" s="121">
        <f>IFERROR('SEM 3'!AE113,"")</f>
        <v/>
      </c>
      <c r="U5" s="121">
        <f>IFERROR('SEM 3'!AG115,"")</f>
        <v/>
      </c>
      <c r="V5" s="98">
        <f>IFERROR(T5*U5,"")</f>
        <v/>
      </c>
      <c r="W5" s="122">
        <f>IFERROR('C.E DIÁRIA E SEMANAL'!I5,"")</f>
        <v/>
      </c>
      <c r="X5" s="149">
        <f>IFERROR(MIN(D5,G5,J5,M5,P5,S5,V5),"")</f>
        <v/>
      </c>
      <c r="Y5" s="149">
        <f>IFERROR(MAX(D5,G5,J5,M5,P5,S5,V5),"")</f>
        <v/>
      </c>
      <c r="Z5" s="166">
        <f>IFERROR(AC5/AD5,"")</f>
        <v/>
      </c>
      <c r="AA5" s="167">
        <f>IFERROR(AE5*Z5,"")</f>
        <v/>
      </c>
      <c r="AB5" s="168" t="n">
        <v>3</v>
      </c>
      <c r="AC5" s="138">
        <f>IFERROR(AVERAGE(D5,G5,J5,M5,P5,S5,V5),"")</f>
        <v/>
      </c>
      <c r="AD5" s="138">
        <f>IFERROR(STDEV(D5,G5,J5,M5,P5,S5,V5),"")</f>
        <v/>
      </c>
      <c r="AE5" s="122">
        <f>IFERROR(D5+G5+J5+M5+P5+S5+V5,"")</f>
        <v/>
      </c>
      <c r="AF5" s="169">
        <f>IFERROR(Z5,"")</f>
        <v/>
      </c>
      <c r="AG5" s="168">
        <f>IFERROR(AA5,"")</f>
        <v/>
      </c>
      <c r="AH5" s="122">
        <f>IFERROR(AE5,"")</f>
        <v/>
      </c>
      <c r="AI5" s="170">
        <f>IFERROR(Z5,"")</f>
        <v/>
      </c>
      <c r="AJ5" s="167">
        <f>IFERROR(AA5,"")</f>
        <v/>
      </c>
      <c r="AK5" s="97" t="n"/>
      <c r="AL5" s="97" t="n"/>
      <c r="AM5" s="97" t="n"/>
      <c r="AN5" s="97" t="n"/>
      <c r="AO5" s="97" t="n"/>
    </row>
    <row r="6" ht="28.5" customHeight="1" s="85">
      <c r="A6" s="154" t="n">
        <v>4</v>
      </c>
      <c r="B6" s="171">
        <f>IFERROR('SEM 4'!AE5,"")</f>
        <v/>
      </c>
      <c r="C6" s="124">
        <f>IFERROR('SEM 4'!AG7,"")</f>
        <v/>
      </c>
      <c r="D6" s="172">
        <f>IFERROR(B6*C6,"")</f>
        <v/>
      </c>
      <c r="E6" s="124">
        <f>IFERROR('SEM 4'!AE23,"")</f>
        <v/>
      </c>
      <c r="F6" s="124">
        <f>IFERROR('SEM 4'!AG25,"")</f>
        <v/>
      </c>
      <c r="G6" s="154">
        <f>IFERROR(E6*F6,"")</f>
        <v/>
      </c>
      <c r="H6" s="124">
        <f>IFERROR('SEM 4'!AE41,"")</f>
        <v/>
      </c>
      <c r="I6" s="124">
        <f>IFERROR('SEM 4'!AG43,"")</f>
        <v/>
      </c>
      <c r="J6" s="154">
        <f>IFERROR(H6*I6,"")</f>
        <v/>
      </c>
      <c r="K6" s="124">
        <f>IFERROR('SEM 4'!AE59,"")</f>
        <v/>
      </c>
      <c r="L6" s="124">
        <f>IFERROR('SEM 4'!AG61,"")</f>
        <v/>
      </c>
      <c r="M6" s="154">
        <f>IFERROR(K6*L6,"")</f>
        <v/>
      </c>
      <c r="N6" s="124">
        <f>IFERROR('SEM 4'!AE77,"")</f>
        <v/>
      </c>
      <c r="O6" s="124">
        <f>IFERROR('SEM 4'!AG79,"")</f>
        <v/>
      </c>
      <c r="P6" s="154">
        <f>IFERROR(N6*O6,"")</f>
        <v/>
      </c>
      <c r="Q6" s="124">
        <f>IFERROR('SEM 4'!AE95,"")</f>
        <v/>
      </c>
      <c r="R6" s="124">
        <f>IFERROR('SEM 4'!AG97,"")</f>
        <v/>
      </c>
      <c r="S6" s="154">
        <f>IFERROR(Q6*R6,"")</f>
        <v/>
      </c>
      <c r="T6" s="124">
        <f>IFERROR('SEM 4'!AE113,"")</f>
        <v/>
      </c>
      <c r="U6" s="124">
        <f>IFERROR('SEM 4'!AG115,"")</f>
        <v/>
      </c>
      <c r="V6" s="154">
        <f>IFERROR(T6*U6,"")</f>
        <v/>
      </c>
      <c r="W6" s="125">
        <f>IFERROR('C.E DIÁRIA E SEMANAL'!I6,"")</f>
        <v/>
      </c>
      <c r="X6" s="173">
        <f>IFERROR(MIN(D6,G6,J6,M6,P6,S6,V6),"")</f>
        <v/>
      </c>
      <c r="Y6" s="173">
        <f>IFERROR(MAX(D6,G6,J6,M6,P6,S6,V6),"")</f>
        <v/>
      </c>
      <c r="Z6" s="174">
        <f>IFERROR(AC6/AD6,"")</f>
        <v/>
      </c>
      <c r="AA6" s="175">
        <f>IFERROR(AE6*Z6,"")</f>
        <v/>
      </c>
      <c r="AB6" s="168" t="n">
        <v>4</v>
      </c>
      <c r="AC6" s="138">
        <f>IFERROR(AVERAGE(D6,G6,J6,M6,P6,S6,V6),"")</f>
        <v/>
      </c>
      <c r="AD6" s="138">
        <f>IFERROR(STDEV(D6,G6,J6,M6,P6,S6,V6),"")</f>
        <v/>
      </c>
      <c r="AE6" s="122">
        <f>IFERROR(D6+G6+J6+M6+P6+S6+V6,"")</f>
        <v/>
      </c>
      <c r="AF6" s="169">
        <f>IFERROR(Z6,"")</f>
        <v/>
      </c>
      <c r="AG6" s="168">
        <f>IFERROR(AA6,"")</f>
        <v/>
      </c>
      <c r="AH6" s="122">
        <f>IFERROR(AE6,"")</f>
        <v/>
      </c>
      <c r="AI6" s="170">
        <f>IFERROR(Z6,"")</f>
        <v/>
      </c>
      <c r="AJ6" s="167">
        <f>IFERROR(AA6,"")</f>
        <v/>
      </c>
      <c r="AK6" s="97" t="n"/>
      <c r="AL6" s="97" t="n"/>
      <c r="AM6" s="97" t="n"/>
      <c r="AN6" s="97" t="n"/>
      <c r="AO6" s="97" t="n"/>
    </row>
    <row r="7" ht="15" customHeight="1" s="85">
      <c r="A7" s="97" t="n"/>
      <c r="B7" s="93" t="n"/>
      <c r="C7" s="93" t="n"/>
      <c r="D7" s="96" t="n"/>
      <c r="E7" s="97" t="n"/>
      <c r="F7" s="97" t="n"/>
      <c r="G7" s="92" t="n"/>
      <c r="H7" s="97" t="n"/>
      <c r="I7" s="97" t="n"/>
      <c r="J7" s="92" t="n"/>
      <c r="K7" s="97" t="n"/>
      <c r="L7" s="97" t="n"/>
      <c r="M7" s="92" t="n"/>
      <c r="N7" s="97" t="n"/>
      <c r="O7" s="97" t="n"/>
      <c r="P7" s="92" t="n"/>
      <c r="Q7" s="97" t="n"/>
      <c r="R7" s="97" t="n"/>
      <c r="S7" s="92" t="n"/>
      <c r="T7" s="97" t="n"/>
      <c r="U7" s="97" t="n"/>
      <c r="V7" s="92" t="n"/>
      <c r="W7" s="97" t="n"/>
      <c r="X7" s="97" t="n"/>
      <c r="Y7" s="97" t="n"/>
      <c r="Z7" s="97" t="n"/>
      <c r="AA7" s="97" t="n"/>
      <c r="AB7" s="138" t="n"/>
      <c r="AC7" s="138" t="n"/>
      <c r="AD7" s="138" t="n"/>
      <c r="AE7" s="97" t="n"/>
      <c r="AF7" s="97" t="n"/>
      <c r="AG7" s="97" t="n"/>
      <c r="AH7" s="97" t="n"/>
      <c r="AI7" s="97" t="n"/>
      <c r="AJ7" s="97" t="n"/>
      <c r="AK7" s="97" t="n"/>
      <c r="AL7" s="97" t="n"/>
      <c r="AM7" s="97" t="n"/>
      <c r="AN7" s="97" t="n"/>
      <c r="AO7" s="97" t="n"/>
    </row>
    <row r="8" ht="15" customHeight="1" s="85">
      <c r="A8" s="97" t="n"/>
      <c r="B8" s="93" t="n"/>
      <c r="C8" s="93" t="n"/>
      <c r="D8" s="96" t="n"/>
      <c r="E8" s="97" t="n"/>
      <c r="F8" s="97" t="n"/>
      <c r="G8" s="92" t="n"/>
      <c r="H8" s="97" t="n"/>
      <c r="I8" s="97" t="n"/>
      <c r="J8" s="92" t="n"/>
      <c r="K8" s="97" t="n"/>
      <c r="L8" s="97" t="n"/>
      <c r="M8" s="92" t="n"/>
      <c r="N8" s="97" t="n"/>
      <c r="O8" s="97" t="n"/>
      <c r="P8" s="92" t="n"/>
      <c r="Q8" s="97" t="n"/>
      <c r="R8" s="97" t="n"/>
      <c r="S8" s="92" t="n"/>
      <c r="T8" s="97" t="n"/>
      <c r="U8" s="97" t="n"/>
      <c r="V8" s="92" t="n"/>
      <c r="W8" s="97" t="n"/>
      <c r="X8" s="97" t="n"/>
      <c r="Y8" s="97" t="n"/>
      <c r="Z8" s="97" t="n"/>
      <c r="AA8" s="97" t="n"/>
      <c r="AB8" s="176" t="n"/>
      <c r="AC8" s="176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</row>
    <row r="9" ht="15" customHeight="1" s="85">
      <c r="A9" s="97" t="n"/>
      <c r="B9" s="93" t="n"/>
      <c r="C9" s="93" t="n"/>
      <c r="D9" s="96" t="n"/>
      <c r="E9" s="97" t="n"/>
      <c r="F9" s="97" t="n"/>
      <c r="G9" s="92" t="n"/>
      <c r="H9" s="97" t="n"/>
      <c r="I9" s="97" t="n"/>
      <c r="J9" s="92" t="n"/>
      <c r="K9" s="97" t="n"/>
      <c r="L9" s="97" t="n"/>
      <c r="M9" s="92" t="n"/>
      <c r="N9" s="97" t="n"/>
      <c r="O9" s="97" t="n"/>
      <c r="P9" s="92" t="n"/>
      <c r="Q9" s="97" t="n"/>
      <c r="R9" s="97" t="n"/>
      <c r="S9" s="92" t="n"/>
      <c r="T9" s="97" t="n"/>
      <c r="U9" s="97" t="n"/>
      <c r="V9" s="92" t="n"/>
      <c r="W9" s="97" t="n"/>
      <c r="X9" s="97" t="n"/>
      <c r="Y9" s="97" t="n"/>
      <c r="Z9" s="97" t="n"/>
      <c r="AA9" s="97" t="n"/>
      <c r="AB9" s="97" t="n"/>
      <c r="AC9" s="97" t="n"/>
      <c r="AD9" s="97" t="n"/>
      <c r="AE9" s="97" t="n"/>
      <c r="AF9" s="97" t="n"/>
      <c r="AG9" s="97" t="n"/>
      <c r="AH9" s="97" t="n"/>
      <c r="AI9" s="97" t="n"/>
      <c r="AJ9" s="97" t="n"/>
      <c r="AK9" s="97" t="n"/>
      <c r="AL9" s="97" t="n"/>
      <c r="AM9" s="97" t="n"/>
      <c r="AN9" s="97" t="n"/>
      <c r="AO9" s="97" t="n"/>
    </row>
    <row r="10" ht="15" customHeight="1" s="85">
      <c r="A10" s="97" t="n"/>
      <c r="B10" s="93" t="n"/>
      <c r="C10" s="93" t="n"/>
      <c r="D10" s="96" t="n"/>
      <c r="E10" s="97" t="n"/>
      <c r="F10" s="97" t="n"/>
      <c r="G10" s="92" t="n"/>
      <c r="H10" s="97" t="n"/>
      <c r="I10" s="97" t="n"/>
      <c r="J10" s="92" t="n"/>
      <c r="K10" s="97" t="n"/>
      <c r="L10" s="97" t="n"/>
      <c r="M10" s="92" t="n"/>
      <c r="N10" s="97" t="n"/>
      <c r="O10" s="97" t="n"/>
      <c r="P10" s="92" t="n"/>
      <c r="Q10" s="97" t="n"/>
      <c r="R10" s="97" t="n"/>
      <c r="S10" s="92" t="n"/>
      <c r="T10" s="97" t="n"/>
      <c r="U10" s="97" t="n"/>
      <c r="V10" s="92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7" t="n"/>
      <c r="AI10" s="97" t="n"/>
      <c r="AJ10" s="97" t="n"/>
      <c r="AK10" s="97" t="n"/>
      <c r="AL10" s="97" t="n"/>
      <c r="AM10" s="97" t="n"/>
      <c r="AN10" s="97" t="n"/>
      <c r="AO10" s="97" t="n"/>
    </row>
    <row r="11" ht="15" customHeight="1" s="85">
      <c r="A11" s="97" t="n"/>
      <c r="B11" s="93" t="n"/>
      <c r="C11" s="93" t="n"/>
      <c r="D11" s="96" t="n"/>
      <c r="E11" s="97" t="n"/>
      <c r="F11" s="97" t="n"/>
      <c r="G11" s="92" t="n"/>
      <c r="H11" s="97" t="n"/>
      <c r="I11" s="97" t="n"/>
      <c r="J11" s="92" t="n"/>
      <c r="K11" s="97" t="n"/>
      <c r="L11" s="97" t="n"/>
      <c r="M11" s="92" t="n"/>
      <c r="N11" s="97" t="n"/>
      <c r="O11" s="97" t="n"/>
      <c r="P11" s="92" t="n"/>
      <c r="Q11" s="97" t="n"/>
      <c r="R11" s="97" t="n"/>
      <c r="S11" s="92" t="n"/>
      <c r="T11" s="97" t="n"/>
      <c r="U11" s="97" t="n"/>
      <c r="V11" s="92" t="n"/>
      <c r="W11" s="97" t="n"/>
      <c r="X11" s="97" t="n"/>
      <c r="Y11" s="97" t="n"/>
      <c r="Z11" s="97" t="n"/>
      <c r="AA11" s="97" t="n"/>
      <c r="AB11" s="97" t="n"/>
      <c r="AC11" s="97" t="n"/>
      <c r="AD11" s="97" t="n"/>
      <c r="AE11" s="97" t="n"/>
      <c r="AF11" s="97" t="n"/>
      <c r="AG11" s="97" t="n"/>
      <c r="AH11" s="97" t="n"/>
      <c r="AI11" s="97" t="n"/>
      <c r="AJ11" s="97" t="n"/>
      <c r="AK11" s="97" t="n"/>
      <c r="AL11" s="97" t="n"/>
      <c r="AM11" s="97" t="n"/>
      <c r="AN11" s="97" t="n"/>
      <c r="AO11" s="97" t="n"/>
    </row>
    <row r="12" ht="15" customHeight="1" s="85">
      <c r="A12" s="97" t="n"/>
      <c r="B12" s="93" t="n"/>
      <c r="C12" s="93" t="n"/>
      <c r="D12" s="96" t="n"/>
      <c r="E12" s="97" t="n"/>
      <c r="F12" s="97" t="n"/>
      <c r="G12" s="92" t="n"/>
      <c r="H12" s="97" t="n"/>
      <c r="I12" s="97" t="n"/>
      <c r="J12" s="92" t="n"/>
      <c r="K12" s="97" t="n"/>
      <c r="L12" s="97" t="n"/>
      <c r="M12" s="92" t="n"/>
      <c r="N12" s="97" t="n"/>
      <c r="O12" s="97" t="n"/>
      <c r="P12" s="92" t="n"/>
      <c r="Q12" s="97" t="n"/>
      <c r="R12" s="97" t="n"/>
      <c r="S12" s="92" t="n"/>
      <c r="T12" s="97" t="n"/>
      <c r="U12" s="97" t="n"/>
      <c r="V12" s="92" t="n"/>
      <c r="W12" s="97" t="n"/>
      <c r="X12" s="97" t="n"/>
      <c r="Y12" s="97" t="n"/>
      <c r="Z12" s="97" t="n"/>
      <c r="AA12" s="97" t="n"/>
      <c r="AB12" s="97" t="n"/>
      <c r="AC12" s="97" t="n"/>
      <c r="AD12" s="97" t="n"/>
      <c r="AE12" s="97" t="n"/>
      <c r="AF12" s="97" t="n"/>
      <c r="AG12" s="97" t="n"/>
      <c r="AH12" s="97" t="n"/>
      <c r="AI12" s="97" t="n"/>
      <c r="AJ12" s="97" t="n"/>
      <c r="AK12" s="97" t="n"/>
      <c r="AL12" s="97" t="n"/>
      <c r="AM12" s="97" t="n"/>
      <c r="AN12" s="97" t="n"/>
      <c r="AO12" s="97" t="n"/>
    </row>
    <row r="13" ht="15" customHeight="1" s="85">
      <c r="A13" s="97" t="n"/>
      <c r="B13" s="93" t="n"/>
      <c r="C13" s="93" t="n"/>
      <c r="D13" s="96" t="n"/>
      <c r="E13" s="97" t="n"/>
      <c r="F13" s="97" t="n"/>
      <c r="G13" s="92" t="n"/>
      <c r="H13" s="97" t="n"/>
      <c r="I13" s="97" t="n"/>
      <c r="J13" s="92" t="n"/>
      <c r="K13" s="97" t="n"/>
      <c r="L13" s="97" t="n"/>
      <c r="M13" s="92" t="n"/>
      <c r="N13" s="97" t="n"/>
      <c r="O13" s="97" t="n"/>
      <c r="P13" s="92" t="n"/>
      <c r="Q13" s="97" t="n"/>
      <c r="R13" s="97" t="n"/>
      <c r="S13" s="92" t="n"/>
      <c r="T13" s="97" t="n"/>
      <c r="U13" s="97" t="n"/>
      <c r="V13" s="92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</row>
    <row r="14" ht="15" customHeight="1" s="85">
      <c r="A14" s="97" t="n"/>
      <c r="B14" s="93" t="n"/>
      <c r="C14" s="93" t="n"/>
      <c r="D14" s="96" t="n"/>
      <c r="E14" s="97" t="n"/>
      <c r="F14" s="97" t="n"/>
      <c r="G14" s="92" t="n"/>
      <c r="H14" s="97" t="n"/>
      <c r="I14" s="97" t="n"/>
      <c r="J14" s="92" t="n"/>
      <c r="K14" s="97" t="n"/>
      <c r="L14" s="97" t="n"/>
      <c r="M14" s="92" t="n"/>
      <c r="N14" s="97" t="n"/>
      <c r="O14" s="97" t="n"/>
      <c r="P14" s="92" t="n"/>
      <c r="Q14" s="97" t="n"/>
      <c r="R14" s="97" t="n"/>
      <c r="S14" s="92" t="n"/>
      <c r="T14" s="97" t="n"/>
      <c r="U14" s="97" t="n"/>
      <c r="V14" s="92" t="n"/>
      <c r="W14" s="97" t="n"/>
      <c r="X14" s="97" t="n"/>
      <c r="Y14" s="97" t="n"/>
      <c r="Z14" s="97" t="n"/>
      <c r="AA14" s="97" t="n"/>
      <c r="AB14" s="97" t="n"/>
      <c r="AC14" s="97" t="n"/>
      <c r="AD14" s="97" t="n"/>
      <c r="AE14" s="97" t="n"/>
      <c r="AF14" s="97" t="n"/>
      <c r="AG14" s="97" t="n"/>
      <c r="AH14" s="97" t="n"/>
      <c r="AI14" s="97" t="n"/>
      <c r="AJ14" s="97" t="n"/>
      <c r="AK14" s="97" t="n"/>
      <c r="AL14" s="97" t="n"/>
      <c r="AM14" s="97" t="n"/>
      <c r="AN14" s="97" t="n"/>
      <c r="AO14" s="97" t="n"/>
    </row>
    <row r="15" ht="15" customHeight="1" s="85">
      <c r="A15" s="97" t="n"/>
      <c r="B15" s="93" t="n"/>
      <c r="C15" s="93" t="n"/>
      <c r="D15" s="96" t="n"/>
      <c r="E15" s="97" t="n"/>
      <c r="F15" s="97" t="n"/>
      <c r="G15" s="92" t="n"/>
      <c r="H15" s="97" t="n"/>
      <c r="I15" s="97" t="n"/>
      <c r="J15" s="92" t="n"/>
      <c r="K15" s="97" t="n"/>
      <c r="L15" s="97" t="n"/>
      <c r="M15" s="92" t="n"/>
      <c r="N15" s="97" t="n"/>
      <c r="O15" s="97" t="n"/>
      <c r="P15" s="92" t="n"/>
      <c r="Q15" s="97" t="n"/>
      <c r="R15" s="97" t="n"/>
      <c r="S15" s="92" t="n"/>
      <c r="T15" s="97" t="n"/>
      <c r="U15" s="97" t="n"/>
      <c r="V15" s="92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97" t="n"/>
      <c r="AH15" s="97" t="n"/>
      <c r="AI15" s="97" t="n"/>
      <c r="AJ15" s="97" t="n"/>
      <c r="AK15" s="97" t="n"/>
      <c r="AL15" s="97" t="n"/>
      <c r="AM15" s="97" t="n"/>
      <c r="AN15" s="97" t="n"/>
      <c r="AO15" s="97" t="n"/>
    </row>
    <row r="16" ht="15" customHeight="1" s="85">
      <c r="A16" s="97" t="n"/>
      <c r="B16" s="93" t="n"/>
      <c r="C16" s="93" t="n"/>
      <c r="D16" s="96" t="n"/>
      <c r="E16" s="97" t="n"/>
      <c r="F16" s="97" t="n"/>
      <c r="G16" s="92" t="n"/>
      <c r="H16" s="97" t="n"/>
      <c r="I16" s="97" t="n"/>
      <c r="J16" s="92" t="n"/>
      <c r="K16" s="97" t="n"/>
      <c r="L16" s="97" t="n"/>
      <c r="M16" s="92" t="n"/>
      <c r="N16" s="97" t="n"/>
      <c r="O16" s="97" t="n"/>
      <c r="P16" s="92" t="n"/>
      <c r="Q16" s="97" t="n"/>
      <c r="R16" s="97" t="n"/>
      <c r="S16" s="92" t="n"/>
      <c r="T16" s="97" t="n"/>
      <c r="U16" s="97" t="n"/>
      <c r="V16" s="92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</row>
    <row r="17" ht="15" customHeight="1" s="85">
      <c r="A17" s="97" t="n"/>
      <c r="B17" s="93" t="n"/>
      <c r="C17" s="93" t="n"/>
      <c r="D17" s="96" t="n"/>
      <c r="E17" s="97" t="n"/>
      <c r="F17" s="97" t="n"/>
      <c r="G17" s="92" t="n"/>
      <c r="H17" s="97" t="n"/>
      <c r="I17" s="97" t="n"/>
      <c r="J17" s="92" t="n"/>
      <c r="K17" s="97" t="n"/>
      <c r="L17" s="97" t="n"/>
      <c r="M17" s="92" t="n"/>
      <c r="N17" s="97" t="n"/>
      <c r="O17" s="97" t="n"/>
      <c r="P17" s="92" t="n"/>
      <c r="Q17" s="97" t="n"/>
      <c r="R17" s="97" t="n"/>
      <c r="S17" s="92" t="n"/>
      <c r="T17" s="97" t="n"/>
      <c r="U17" s="97" t="n"/>
      <c r="V17" s="92" t="n"/>
      <c r="W17" s="97" t="n"/>
      <c r="X17" s="97" t="n"/>
      <c r="Y17" s="97" t="n"/>
      <c r="Z17" s="97" t="n"/>
      <c r="AA17" s="97" t="n"/>
      <c r="AB17" s="97" t="n"/>
      <c r="AC17" s="97" t="n"/>
      <c r="AD17" s="97" t="n"/>
      <c r="AE17" s="97" t="n"/>
      <c r="AF17" s="97" t="n"/>
      <c r="AG17" s="97" t="n"/>
      <c r="AH17" s="97" t="n"/>
      <c r="AI17" s="97" t="n"/>
      <c r="AJ17" s="97" t="n"/>
      <c r="AK17" s="97" t="n"/>
      <c r="AL17" s="97" t="n"/>
      <c r="AM17" s="97" t="n"/>
      <c r="AN17" s="97" t="n"/>
      <c r="AO17" s="97" t="n"/>
    </row>
    <row r="18" ht="15" customHeight="1" s="85">
      <c r="A18" s="97" t="n"/>
      <c r="B18" s="93" t="n"/>
      <c r="C18" s="93" t="n"/>
      <c r="D18" s="96" t="n"/>
      <c r="E18" s="97" t="n"/>
      <c r="F18" s="97" t="n"/>
      <c r="G18" s="92" t="n"/>
      <c r="H18" s="97" t="n"/>
      <c r="I18" s="97" t="n"/>
      <c r="J18" s="92" t="n"/>
      <c r="K18" s="97" t="n"/>
      <c r="L18" s="97" t="n"/>
      <c r="M18" s="92" t="n"/>
      <c r="N18" s="97" t="n"/>
      <c r="O18" s="97" t="n"/>
      <c r="P18" s="92" t="n"/>
      <c r="Q18" s="97" t="n"/>
      <c r="R18" s="97" t="n"/>
      <c r="S18" s="92" t="n"/>
      <c r="T18" s="97" t="n"/>
      <c r="U18" s="97" t="n"/>
      <c r="V18" s="92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  <c r="AL18" s="97" t="n"/>
      <c r="AM18" s="97" t="n"/>
      <c r="AN18" s="97" t="n"/>
      <c r="AO18" s="97" t="n"/>
    </row>
    <row r="19" ht="15" customHeight="1" s="85">
      <c r="A19" s="97" t="n"/>
      <c r="B19" s="93" t="n"/>
      <c r="C19" s="93" t="n"/>
      <c r="D19" s="96" t="n"/>
      <c r="E19" s="97" t="n"/>
      <c r="F19" s="97" t="n"/>
      <c r="G19" s="92" t="n"/>
      <c r="H19" s="97" t="n"/>
      <c r="I19" s="97" t="n"/>
      <c r="J19" s="92" t="n"/>
      <c r="K19" s="97" t="n"/>
      <c r="L19" s="97" t="n"/>
      <c r="M19" s="92" t="n"/>
      <c r="N19" s="97" t="n"/>
      <c r="O19" s="97" t="n"/>
      <c r="P19" s="92" t="n"/>
      <c r="Q19" s="97" t="n"/>
      <c r="R19" s="97" t="n"/>
      <c r="S19" s="92" t="n"/>
      <c r="T19" s="97" t="n"/>
      <c r="U19" s="97" t="n"/>
      <c r="V19" s="92" t="n"/>
      <c r="W19" s="97" t="n"/>
      <c r="X19" s="97" t="n"/>
      <c r="Y19" s="97" t="n"/>
      <c r="Z19" s="97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  <c r="AL19" s="97" t="n"/>
      <c r="AM19" s="97" t="n"/>
      <c r="AN19" s="97" t="n"/>
      <c r="AO19" s="97" t="n"/>
    </row>
    <row r="20" ht="15" customHeight="1" s="85">
      <c r="A20" s="97" t="n"/>
      <c r="B20" s="93" t="n"/>
      <c r="C20" s="93" t="n"/>
      <c r="D20" s="96" t="n"/>
      <c r="E20" s="97" t="n"/>
      <c r="F20" s="97" t="n"/>
      <c r="G20" s="92" t="n"/>
      <c r="H20" s="97" t="n"/>
      <c r="I20" s="97" t="n"/>
      <c r="J20" s="92" t="n"/>
      <c r="K20" s="97" t="n"/>
      <c r="L20" s="97" t="n"/>
      <c r="M20" s="92" t="n"/>
      <c r="N20" s="97" t="n"/>
      <c r="O20" s="97" t="n"/>
      <c r="P20" s="92" t="n"/>
      <c r="Q20" s="97" t="n"/>
      <c r="R20" s="97" t="n"/>
      <c r="S20" s="92" t="n"/>
      <c r="T20" s="97" t="n"/>
      <c r="U20" s="97" t="n"/>
      <c r="V20" s="92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  <c r="AL20" s="97" t="n"/>
      <c r="AM20" s="97" t="n"/>
      <c r="AN20" s="97" t="n"/>
      <c r="AO20" s="97" t="n"/>
    </row>
    <row r="21" ht="15.75" customHeight="1" s="85">
      <c r="A21" s="97" t="n"/>
      <c r="B21" s="93" t="n"/>
      <c r="C21" s="93" t="n"/>
      <c r="D21" s="96" t="n"/>
      <c r="E21" s="97" t="n"/>
      <c r="F21" s="97" t="n"/>
      <c r="G21" s="92" t="n"/>
      <c r="H21" s="97" t="n"/>
      <c r="I21" s="97" t="n"/>
      <c r="J21" s="92" t="n"/>
      <c r="K21" s="97" t="n"/>
      <c r="L21" s="97" t="n"/>
      <c r="M21" s="92" t="n"/>
      <c r="N21" s="97" t="n"/>
      <c r="O21" s="97" t="n"/>
      <c r="P21" s="92" t="n"/>
      <c r="Q21" s="97" t="n"/>
      <c r="R21" s="97" t="n"/>
      <c r="S21" s="92" t="n"/>
      <c r="T21" s="97" t="n"/>
      <c r="U21" s="97" t="n"/>
      <c r="V21" s="92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</row>
    <row r="22" ht="15.75" customHeight="1" s="85">
      <c r="A22" s="97" t="n"/>
      <c r="B22" s="93" t="n"/>
      <c r="C22" s="93" t="n"/>
      <c r="D22" s="96" t="n"/>
      <c r="E22" s="97" t="n"/>
      <c r="F22" s="97" t="n"/>
      <c r="G22" s="92" t="n"/>
      <c r="H22" s="97" t="n"/>
      <c r="I22" s="97" t="n"/>
      <c r="J22" s="92" t="n"/>
      <c r="K22" s="97" t="n"/>
      <c r="L22" s="97" t="n"/>
      <c r="M22" s="92" t="n"/>
      <c r="N22" s="97" t="n"/>
      <c r="O22" s="97" t="n"/>
      <c r="P22" s="92" t="n"/>
      <c r="Q22" s="97" t="n"/>
      <c r="R22" s="97" t="n"/>
      <c r="S22" s="92" t="n"/>
      <c r="T22" s="97" t="n"/>
      <c r="U22" s="97" t="n"/>
      <c r="V22" s="92" t="n"/>
      <c r="W22" s="97" t="n"/>
      <c r="X22" s="97" t="n"/>
      <c r="Y22" s="97" t="n"/>
      <c r="Z22" s="97" t="n"/>
      <c r="AA22" s="97" t="n"/>
      <c r="AB22" s="97" t="n"/>
      <c r="AC22" s="97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</row>
    <row r="23" ht="15.75" customHeight="1" s="85">
      <c r="A23" s="97" t="n"/>
      <c r="B23" s="93" t="n"/>
      <c r="C23" s="93" t="n"/>
      <c r="D23" s="96" t="n"/>
      <c r="E23" s="97" t="n"/>
      <c r="F23" s="97" t="n"/>
      <c r="G23" s="92" t="n"/>
      <c r="H23" s="97" t="n"/>
      <c r="I23" s="97" t="n"/>
      <c r="J23" s="92" t="n"/>
      <c r="K23" s="97" t="n"/>
      <c r="L23" s="97" t="n"/>
      <c r="M23" s="92" t="n"/>
      <c r="N23" s="97" t="n"/>
      <c r="O23" s="97" t="n"/>
      <c r="P23" s="92" t="n"/>
      <c r="Q23" s="97" t="n"/>
      <c r="R23" s="97" t="n"/>
      <c r="S23" s="92" t="n"/>
      <c r="T23" s="97" t="n"/>
      <c r="U23" s="97" t="n"/>
      <c r="V23" s="92" t="n"/>
      <c r="W23" s="97" t="n"/>
      <c r="X23" s="97" t="n"/>
      <c r="Y23" s="97" t="n"/>
      <c r="Z23" s="97" t="n"/>
      <c r="AA23" s="97" t="n"/>
      <c r="AB23" s="97" t="n"/>
      <c r="AC23" s="97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</row>
    <row r="24" ht="15.75" customHeight="1" s="85">
      <c r="A24" s="97" t="n"/>
      <c r="B24" s="93" t="n"/>
      <c r="C24" s="93" t="n"/>
      <c r="D24" s="96" t="n"/>
      <c r="E24" s="97" t="n"/>
      <c r="F24" s="97" t="n"/>
      <c r="G24" s="92" t="n"/>
      <c r="H24" s="97" t="n"/>
      <c r="I24" s="97" t="n"/>
      <c r="J24" s="92" t="n"/>
      <c r="K24" s="97" t="n"/>
      <c r="L24" s="97" t="n"/>
      <c r="M24" s="92" t="n"/>
      <c r="N24" s="97" t="n"/>
      <c r="O24" s="97" t="n"/>
      <c r="P24" s="92" t="n"/>
      <c r="Q24" s="97" t="n"/>
      <c r="R24" s="97" t="n"/>
      <c r="S24" s="92" t="n"/>
      <c r="T24" s="97" t="n"/>
      <c r="U24" s="97" t="n"/>
      <c r="V24" s="92" t="n"/>
      <c r="W24" s="97" t="n"/>
      <c r="X24" s="97" t="n"/>
      <c r="Y24" s="97" t="n"/>
      <c r="Z24" s="97" t="n"/>
      <c r="AA24" s="97" t="n"/>
      <c r="AB24" s="97" t="n"/>
      <c r="AC24" s="97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</row>
    <row r="25" ht="15.75" customHeight="1" s="85">
      <c r="A25" s="97" t="n"/>
      <c r="B25" s="93" t="n"/>
      <c r="C25" s="93" t="n"/>
      <c r="D25" s="96" t="n"/>
      <c r="E25" s="97" t="n"/>
      <c r="F25" s="97" t="n"/>
      <c r="G25" s="92" t="n"/>
      <c r="H25" s="97" t="n"/>
      <c r="I25" s="97" t="n"/>
      <c r="J25" s="92" t="n"/>
      <c r="K25" s="97" t="n"/>
      <c r="L25" s="97" t="n"/>
      <c r="M25" s="92" t="n"/>
      <c r="N25" s="97" t="n"/>
      <c r="O25" s="97" t="n"/>
      <c r="P25" s="92" t="n"/>
      <c r="Q25" s="97" t="n"/>
      <c r="R25" s="97" t="n"/>
      <c r="S25" s="92" t="n"/>
      <c r="T25" s="97" t="n"/>
      <c r="U25" s="97" t="n"/>
      <c r="V25" s="92" t="n"/>
      <c r="W25" s="97" t="n"/>
      <c r="X25" s="97" t="n"/>
      <c r="Y25" s="97" t="n"/>
      <c r="Z25" s="97" t="n"/>
      <c r="AA25" s="97" t="n"/>
      <c r="AB25" s="97" t="n"/>
      <c r="AC25" s="97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</row>
    <row r="26" ht="15.75" customHeight="1" s="85">
      <c r="A26" s="97" t="n"/>
      <c r="B26" s="93" t="n"/>
      <c r="C26" s="93" t="n"/>
      <c r="D26" s="96" t="n"/>
      <c r="E26" s="97" t="n"/>
      <c r="F26" s="97" t="n"/>
      <c r="G26" s="92" t="n"/>
      <c r="H26" s="97" t="n"/>
      <c r="I26" s="97" t="n"/>
      <c r="J26" s="92" t="n"/>
      <c r="K26" s="97" t="n"/>
      <c r="L26" s="97" t="n"/>
      <c r="M26" s="92" t="n"/>
      <c r="N26" s="97" t="n"/>
      <c r="O26" s="97" t="n"/>
      <c r="P26" s="92" t="n"/>
      <c r="Q26" s="97" t="n"/>
      <c r="R26" s="97" t="n"/>
      <c r="S26" s="92" t="n"/>
      <c r="T26" s="97" t="n"/>
      <c r="U26" s="97" t="n"/>
      <c r="V26" s="92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</row>
    <row r="27" ht="15.75" customHeight="1" s="85">
      <c r="A27" s="97" t="n"/>
      <c r="B27" s="93" t="n"/>
      <c r="C27" s="93" t="n"/>
      <c r="D27" s="96" t="n"/>
      <c r="E27" s="97" t="n"/>
      <c r="F27" s="97" t="n"/>
      <c r="G27" s="92" t="n"/>
      <c r="H27" s="97" t="n"/>
      <c r="I27" s="97" t="n"/>
      <c r="J27" s="92" t="n"/>
      <c r="K27" s="97" t="n"/>
      <c r="L27" s="97" t="n"/>
      <c r="M27" s="92" t="n"/>
      <c r="N27" s="97" t="n"/>
      <c r="O27" s="97" t="n"/>
      <c r="P27" s="92" t="n"/>
      <c r="Q27" s="97" t="n"/>
      <c r="R27" s="97" t="n"/>
      <c r="S27" s="92" t="n"/>
      <c r="T27" s="97" t="n"/>
      <c r="U27" s="97" t="n"/>
      <c r="V27" s="92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</row>
    <row r="28" ht="15.75" customHeight="1" s="85">
      <c r="A28" s="97" t="n"/>
      <c r="B28" s="93" t="n"/>
      <c r="C28" s="93" t="n"/>
      <c r="D28" s="96" t="n"/>
      <c r="E28" s="97" t="n"/>
      <c r="F28" s="97" t="n"/>
      <c r="G28" s="92" t="n"/>
      <c r="H28" s="97" t="n"/>
      <c r="I28" s="97" t="n"/>
      <c r="J28" s="92" t="n"/>
      <c r="K28" s="97" t="n"/>
      <c r="L28" s="97" t="n"/>
      <c r="M28" s="92" t="n"/>
      <c r="N28" s="97" t="n"/>
      <c r="O28" s="97" t="n"/>
      <c r="P28" s="92" t="n"/>
      <c r="Q28" s="97" t="n"/>
      <c r="R28" s="97" t="n"/>
      <c r="S28" s="92" t="n"/>
      <c r="T28" s="97" t="n"/>
      <c r="U28" s="97" t="n"/>
      <c r="V28" s="92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</row>
    <row r="29" ht="15.75" customHeight="1" s="85">
      <c r="A29" s="97" t="n"/>
      <c r="B29" s="93" t="n"/>
      <c r="C29" s="93" t="n"/>
      <c r="D29" s="96" t="n"/>
      <c r="E29" s="97" t="n"/>
      <c r="F29" s="97" t="n"/>
      <c r="G29" s="92" t="n"/>
      <c r="H29" s="97" t="n"/>
      <c r="I29" s="97" t="n"/>
      <c r="J29" s="92" t="n"/>
      <c r="K29" s="97" t="n"/>
      <c r="L29" s="97" t="n"/>
      <c r="M29" s="92" t="n"/>
      <c r="N29" s="97" t="n"/>
      <c r="O29" s="97" t="n"/>
      <c r="P29" s="92" t="n"/>
      <c r="Q29" s="97" t="n"/>
      <c r="R29" s="97" t="n"/>
      <c r="S29" s="92" t="n"/>
      <c r="T29" s="97" t="n"/>
      <c r="U29" s="97" t="n"/>
      <c r="V29" s="92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</row>
    <row r="30" ht="15.75" customHeight="1" s="85">
      <c r="A30" s="97" t="n"/>
      <c r="B30" s="93" t="n"/>
      <c r="C30" s="93" t="n"/>
      <c r="D30" s="96" t="n"/>
      <c r="E30" s="97" t="n"/>
      <c r="F30" s="97" t="n"/>
      <c r="G30" s="92" t="n"/>
      <c r="H30" s="97" t="n"/>
      <c r="I30" s="97" t="n"/>
      <c r="J30" s="92" t="n"/>
      <c r="K30" s="97" t="n"/>
      <c r="L30" s="97" t="n"/>
      <c r="M30" s="92" t="n"/>
      <c r="N30" s="97" t="n"/>
      <c r="O30" s="97" t="n"/>
      <c r="P30" s="92" t="n"/>
      <c r="Q30" s="97" t="n"/>
      <c r="R30" s="97" t="n"/>
      <c r="S30" s="92" t="n"/>
      <c r="T30" s="97" t="n"/>
      <c r="U30" s="97" t="n"/>
      <c r="V30" s="92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</row>
    <row r="31" ht="15.75" customHeight="1" s="85">
      <c r="A31" s="97" t="n"/>
      <c r="B31" s="93" t="n"/>
      <c r="C31" s="93" t="n"/>
      <c r="D31" s="96" t="n"/>
      <c r="E31" s="97" t="n"/>
      <c r="F31" s="97" t="n"/>
      <c r="G31" s="92" t="n"/>
      <c r="H31" s="97" t="n"/>
      <c r="I31" s="97" t="n"/>
      <c r="J31" s="92" t="n"/>
      <c r="K31" s="97" t="n"/>
      <c r="L31" s="97" t="n"/>
      <c r="M31" s="92" t="n"/>
      <c r="N31" s="97" t="n"/>
      <c r="O31" s="97" t="n"/>
      <c r="P31" s="92" t="n"/>
      <c r="Q31" s="97" t="n"/>
      <c r="R31" s="97" t="n"/>
      <c r="S31" s="92" t="n"/>
      <c r="T31" s="97" t="n"/>
      <c r="U31" s="97" t="n"/>
      <c r="V31" s="92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</row>
    <row r="32" ht="15.75" customHeight="1" s="85">
      <c r="A32" s="97" t="n"/>
      <c r="B32" s="93" t="n"/>
      <c r="C32" s="93" t="n"/>
      <c r="D32" s="96" t="n"/>
      <c r="E32" s="97" t="n"/>
      <c r="F32" s="97" t="n"/>
      <c r="G32" s="92" t="n"/>
      <c r="H32" s="97" t="n"/>
      <c r="I32" s="97" t="n"/>
      <c r="J32" s="92" t="n"/>
      <c r="K32" s="97" t="n"/>
      <c r="L32" s="97" t="n"/>
      <c r="M32" s="92" t="n"/>
      <c r="N32" s="97" t="n"/>
      <c r="O32" s="97" t="n"/>
      <c r="P32" s="92" t="n"/>
      <c r="Q32" s="97" t="n"/>
      <c r="R32" s="97" t="n"/>
      <c r="S32" s="92" t="n"/>
      <c r="T32" s="97" t="n"/>
      <c r="U32" s="97" t="n"/>
      <c r="V32" s="92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</row>
    <row r="33" ht="15.75" customHeight="1" s="85">
      <c r="A33" s="97" t="n"/>
      <c r="B33" s="93" t="n"/>
      <c r="C33" s="93" t="n"/>
      <c r="D33" s="96" t="n"/>
      <c r="E33" s="97" t="n"/>
      <c r="F33" s="97" t="n"/>
      <c r="G33" s="92" t="n"/>
      <c r="H33" s="97" t="n"/>
      <c r="I33" s="97" t="n"/>
      <c r="J33" s="92" t="n"/>
      <c r="K33" s="97" t="n"/>
      <c r="L33" s="97" t="n"/>
      <c r="M33" s="92" t="n"/>
      <c r="N33" s="97" t="n"/>
      <c r="O33" s="97" t="n"/>
      <c r="P33" s="92" t="n"/>
      <c r="Q33" s="97" t="n"/>
      <c r="R33" s="97" t="n"/>
      <c r="S33" s="92" t="n"/>
      <c r="T33" s="97" t="n"/>
      <c r="U33" s="97" t="n"/>
      <c r="V33" s="92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</row>
    <row r="34" ht="15.75" customHeight="1" s="85">
      <c r="A34" s="97" t="n"/>
      <c r="B34" s="93" t="n"/>
      <c r="C34" s="93" t="n"/>
      <c r="D34" s="96" t="n"/>
      <c r="E34" s="97" t="n"/>
      <c r="F34" s="97" t="n"/>
      <c r="G34" s="92" t="n"/>
      <c r="H34" s="97" t="n"/>
      <c r="I34" s="97" t="n"/>
      <c r="J34" s="92" t="n"/>
      <c r="K34" s="97" t="n"/>
      <c r="L34" s="97" t="n"/>
      <c r="M34" s="92" t="n"/>
      <c r="N34" s="97" t="n"/>
      <c r="O34" s="97" t="n"/>
      <c r="P34" s="92" t="n"/>
      <c r="Q34" s="97" t="n"/>
      <c r="R34" s="97" t="n"/>
      <c r="S34" s="92" t="n"/>
      <c r="T34" s="97" t="n"/>
      <c r="U34" s="97" t="n"/>
      <c r="V34" s="92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</row>
    <row r="35" ht="15.75" customHeight="1" s="85">
      <c r="A35" s="97" t="n"/>
      <c r="B35" s="93" t="n"/>
      <c r="C35" s="93" t="n"/>
      <c r="D35" s="96" t="n"/>
      <c r="E35" s="97" t="n"/>
      <c r="F35" s="97" t="n"/>
      <c r="G35" s="92" t="n"/>
      <c r="H35" s="97" t="n"/>
      <c r="I35" s="97" t="n"/>
      <c r="J35" s="92" t="n"/>
      <c r="K35" s="97" t="n"/>
      <c r="L35" s="97" t="n"/>
      <c r="M35" s="92" t="n"/>
      <c r="N35" s="97" t="n"/>
      <c r="O35" s="97" t="n"/>
      <c r="P35" s="92" t="n"/>
      <c r="Q35" s="97" t="n"/>
      <c r="R35" s="97" t="n"/>
      <c r="S35" s="92" t="n"/>
      <c r="T35" s="97" t="n"/>
      <c r="U35" s="97" t="n"/>
      <c r="V35" s="92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</row>
    <row r="36" ht="15.75" customHeight="1" s="85">
      <c r="A36" s="97" t="n"/>
      <c r="B36" s="93" t="n"/>
      <c r="C36" s="93" t="n"/>
      <c r="D36" s="96" t="n"/>
      <c r="E36" s="97" t="n"/>
      <c r="F36" s="97" t="n"/>
      <c r="G36" s="92" t="n"/>
      <c r="H36" s="97" t="n"/>
      <c r="I36" s="97" t="n"/>
      <c r="J36" s="92" t="n"/>
      <c r="K36" s="97" t="n"/>
      <c r="L36" s="97" t="n"/>
      <c r="M36" s="92" t="n"/>
      <c r="N36" s="97" t="n"/>
      <c r="O36" s="97" t="n"/>
      <c r="P36" s="92" t="n"/>
      <c r="Q36" s="97" t="n"/>
      <c r="R36" s="97" t="n"/>
      <c r="S36" s="92" t="n"/>
      <c r="T36" s="97" t="n"/>
      <c r="U36" s="97" t="n"/>
      <c r="V36" s="92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</row>
    <row r="37" ht="15.75" customHeight="1" s="85">
      <c r="A37" s="97" t="n"/>
      <c r="B37" s="93" t="n"/>
      <c r="C37" s="93" t="n"/>
      <c r="D37" s="96" t="n"/>
      <c r="E37" s="97" t="n"/>
      <c r="F37" s="97" t="n"/>
      <c r="G37" s="92" t="n"/>
      <c r="H37" s="97" t="n"/>
      <c r="I37" s="97" t="n"/>
      <c r="J37" s="92" t="n"/>
      <c r="K37" s="97" t="n"/>
      <c r="L37" s="97" t="n"/>
      <c r="M37" s="92" t="n"/>
      <c r="N37" s="97" t="n"/>
      <c r="O37" s="97" t="n"/>
      <c r="P37" s="92" t="n"/>
      <c r="Q37" s="97" t="n"/>
      <c r="R37" s="97" t="n"/>
      <c r="S37" s="92" t="n"/>
      <c r="T37" s="97" t="n"/>
      <c r="U37" s="97" t="n"/>
      <c r="V37" s="92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</row>
    <row r="38" ht="15.75" customHeight="1" s="85">
      <c r="A38" s="97" t="n"/>
      <c r="B38" s="93" t="n"/>
      <c r="C38" s="93" t="n"/>
      <c r="D38" s="96" t="n"/>
      <c r="E38" s="97" t="n"/>
      <c r="F38" s="97" t="n"/>
      <c r="G38" s="92" t="n"/>
      <c r="H38" s="97" t="n"/>
      <c r="I38" s="97" t="n"/>
      <c r="J38" s="92" t="n"/>
      <c r="K38" s="97" t="n"/>
      <c r="L38" s="97" t="n"/>
      <c r="M38" s="92" t="n"/>
      <c r="N38" s="97" t="n"/>
      <c r="O38" s="97" t="n"/>
      <c r="P38" s="92" t="n"/>
      <c r="Q38" s="97" t="n"/>
      <c r="R38" s="97" t="n"/>
      <c r="S38" s="92" t="n"/>
      <c r="T38" s="97" t="n"/>
      <c r="U38" s="97" t="n"/>
      <c r="V38" s="92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</row>
    <row r="39" ht="15.75" customHeight="1" s="85">
      <c r="A39" s="97" t="n"/>
      <c r="B39" s="93" t="n"/>
      <c r="C39" s="93" t="n"/>
      <c r="D39" s="96" t="n"/>
      <c r="E39" s="97" t="n"/>
      <c r="F39" s="97" t="n"/>
      <c r="G39" s="92" t="n"/>
      <c r="H39" s="97" t="n"/>
      <c r="I39" s="97" t="n"/>
      <c r="J39" s="92" t="n"/>
      <c r="K39" s="97" t="n"/>
      <c r="L39" s="97" t="n"/>
      <c r="M39" s="92" t="n"/>
      <c r="N39" s="97" t="n"/>
      <c r="O39" s="97" t="n"/>
      <c r="P39" s="92" t="n"/>
      <c r="Q39" s="97" t="n"/>
      <c r="R39" s="97" t="n"/>
      <c r="S39" s="92" t="n"/>
      <c r="T39" s="97" t="n"/>
      <c r="U39" s="97" t="n"/>
      <c r="V39" s="92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</row>
    <row r="40" ht="15.75" customHeight="1" s="85">
      <c r="A40" s="97" t="n"/>
      <c r="B40" s="93" t="n"/>
      <c r="C40" s="93" t="n"/>
      <c r="D40" s="96" t="n"/>
      <c r="E40" s="97" t="n"/>
      <c r="F40" s="97" t="n"/>
      <c r="G40" s="92" t="n"/>
      <c r="H40" s="97" t="n"/>
      <c r="I40" s="97" t="n"/>
      <c r="J40" s="92" t="n"/>
      <c r="K40" s="97" t="n"/>
      <c r="L40" s="97" t="n"/>
      <c r="M40" s="92" t="n"/>
      <c r="N40" s="97" t="n"/>
      <c r="O40" s="97" t="n"/>
      <c r="P40" s="92" t="n"/>
      <c r="Q40" s="97" t="n"/>
      <c r="R40" s="97" t="n"/>
      <c r="S40" s="92" t="n"/>
      <c r="T40" s="97" t="n"/>
      <c r="U40" s="97" t="n"/>
      <c r="V40" s="92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</row>
    <row r="41" ht="15.75" customHeight="1" s="85">
      <c r="A41" s="97" t="n"/>
      <c r="B41" s="93" t="n"/>
      <c r="C41" s="93" t="n"/>
      <c r="D41" s="96" t="n"/>
      <c r="E41" s="97" t="n"/>
      <c r="F41" s="97" t="n"/>
      <c r="G41" s="92" t="n"/>
      <c r="H41" s="97" t="n"/>
      <c r="I41" s="97" t="n"/>
      <c r="J41" s="92" t="n"/>
      <c r="K41" s="97" t="n"/>
      <c r="L41" s="97" t="n"/>
      <c r="M41" s="92" t="n"/>
      <c r="N41" s="97" t="n"/>
      <c r="O41" s="97" t="n"/>
      <c r="P41" s="92" t="n"/>
      <c r="Q41" s="97" t="n"/>
      <c r="R41" s="97" t="n"/>
      <c r="S41" s="92" t="n"/>
      <c r="T41" s="97" t="n"/>
      <c r="U41" s="97" t="n"/>
      <c r="V41" s="92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</row>
    <row r="42" ht="15.75" customHeight="1" s="85">
      <c r="A42" s="97" t="n"/>
      <c r="B42" s="93" t="n"/>
      <c r="C42" s="93" t="n"/>
      <c r="D42" s="96" t="n"/>
      <c r="E42" s="97" t="n"/>
      <c r="F42" s="97" t="n"/>
      <c r="G42" s="92" t="n"/>
      <c r="H42" s="97" t="n"/>
      <c r="I42" s="97" t="n"/>
      <c r="J42" s="92" t="n"/>
      <c r="K42" s="97" t="n"/>
      <c r="L42" s="97" t="n"/>
      <c r="M42" s="92" t="n"/>
      <c r="N42" s="97" t="n"/>
      <c r="O42" s="97" t="n"/>
      <c r="P42" s="92" t="n"/>
      <c r="Q42" s="97" t="n"/>
      <c r="R42" s="97" t="n"/>
      <c r="S42" s="92" t="n"/>
      <c r="T42" s="97" t="n"/>
      <c r="U42" s="97" t="n"/>
      <c r="V42" s="92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</row>
    <row r="43" ht="15.75" customHeight="1" s="85">
      <c r="A43" s="97" t="n"/>
      <c r="B43" s="93" t="n"/>
      <c r="C43" s="93" t="n"/>
      <c r="D43" s="96" t="n"/>
      <c r="E43" s="97" t="n"/>
      <c r="F43" s="97" t="n"/>
      <c r="G43" s="92" t="n"/>
      <c r="H43" s="97" t="n"/>
      <c r="I43" s="97" t="n"/>
      <c r="J43" s="92" t="n"/>
      <c r="K43" s="97" t="n"/>
      <c r="L43" s="97" t="n"/>
      <c r="M43" s="92" t="n"/>
      <c r="N43" s="97" t="n"/>
      <c r="O43" s="97" t="n"/>
      <c r="P43" s="92" t="n"/>
      <c r="Q43" s="97" t="n"/>
      <c r="R43" s="97" t="n"/>
      <c r="S43" s="92" t="n"/>
      <c r="T43" s="97" t="n"/>
      <c r="U43" s="97" t="n"/>
      <c r="V43" s="92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</row>
    <row r="44" ht="15.75" customHeight="1" s="85">
      <c r="A44" s="97" t="n"/>
      <c r="B44" s="93" t="n"/>
      <c r="C44" s="93" t="n"/>
      <c r="D44" s="96" t="n"/>
      <c r="E44" s="97" t="n"/>
      <c r="F44" s="97" t="n"/>
      <c r="G44" s="92" t="n"/>
      <c r="H44" s="97" t="n"/>
      <c r="I44" s="97" t="n"/>
      <c r="J44" s="92" t="n"/>
      <c r="K44" s="97" t="n"/>
      <c r="L44" s="97" t="n"/>
      <c r="M44" s="92" t="n"/>
      <c r="N44" s="97" t="n"/>
      <c r="O44" s="97" t="n"/>
      <c r="P44" s="92" t="n"/>
      <c r="Q44" s="97" t="n"/>
      <c r="R44" s="97" t="n"/>
      <c r="S44" s="92" t="n"/>
      <c r="T44" s="97" t="n"/>
      <c r="U44" s="97" t="n"/>
      <c r="V44" s="92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</row>
    <row r="45" ht="15.75" customHeight="1" s="85">
      <c r="A45" s="97" t="n"/>
      <c r="B45" s="93" t="n"/>
      <c r="C45" s="93" t="n"/>
      <c r="D45" s="96" t="n"/>
      <c r="E45" s="97" t="n"/>
      <c r="F45" s="97" t="n"/>
      <c r="G45" s="92" t="n"/>
      <c r="H45" s="97" t="n"/>
      <c r="I45" s="97" t="n"/>
      <c r="J45" s="92" t="n"/>
      <c r="K45" s="97" t="n"/>
      <c r="L45" s="97" t="n"/>
      <c r="M45" s="92" t="n"/>
      <c r="N45" s="97" t="n"/>
      <c r="O45" s="97" t="n"/>
      <c r="P45" s="92" t="n"/>
      <c r="Q45" s="97" t="n"/>
      <c r="R45" s="97" t="n"/>
      <c r="S45" s="92" t="n"/>
      <c r="T45" s="97" t="n"/>
      <c r="U45" s="97" t="n"/>
      <c r="V45" s="92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</row>
    <row r="46" ht="15.75" customHeight="1" s="85">
      <c r="A46" s="97" t="n"/>
      <c r="B46" s="93" t="n"/>
      <c r="C46" s="93" t="n"/>
      <c r="D46" s="96" t="n"/>
      <c r="E46" s="97" t="n"/>
      <c r="F46" s="97" t="n"/>
      <c r="G46" s="92" t="n"/>
      <c r="H46" s="97" t="n"/>
      <c r="I46" s="97" t="n"/>
      <c r="J46" s="92" t="n"/>
      <c r="K46" s="97" t="n"/>
      <c r="L46" s="97" t="n"/>
      <c r="M46" s="92" t="n"/>
      <c r="N46" s="97" t="n"/>
      <c r="O46" s="97" t="n"/>
      <c r="P46" s="92" t="n"/>
      <c r="Q46" s="97" t="n"/>
      <c r="R46" s="97" t="n"/>
      <c r="S46" s="92" t="n"/>
      <c r="T46" s="97" t="n"/>
      <c r="U46" s="97" t="n"/>
      <c r="V46" s="92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</row>
    <row r="47" ht="15.75" customHeight="1" s="85">
      <c r="A47" s="97" t="n"/>
      <c r="B47" s="93" t="n"/>
      <c r="C47" s="93" t="n"/>
      <c r="D47" s="96" t="n"/>
      <c r="E47" s="97" t="n"/>
      <c r="F47" s="97" t="n"/>
      <c r="G47" s="92" t="n"/>
      <c r="H47" s="97" t="n"/>
      <c r="I47" s="97" t="n"/>
      <c r="J47" s="92" t="n"/>
      <c r="K47" s="97" t="n"/>
      <c r="L47" s="97" t="n"/>
      <c r="M47" s="92" t="n"/>
      <c r="N47" s="97" t="n"/>
      <c r="O47" s="97" t="n"/>
      <c r="P47" s="92" t="n"/>
      <c r="Q47" s="97" t="n"/>
      <c r="R47" s="97" t="n"/>
      <c r="S47" s="92" t="n"/>
      <c r="T47" s="97" t="n"/>
      <c r="U47" s="97" t="n"/>
      <c r="V47" s="92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</row>
    <row r="48" ht="15.75" customHeight="1" s="85">
      <c r="A48" s="97" t="n"/>
      <c r="B48" s="93" t="n"/>
      <c r="C48" s="93" t="n"/>
      <c r="D48" s="96" t="n"/>
      <c r="E48" s="97" t="n"/>
      <c r="F48" s="97" t="n"/>
      <c r="G48" s="92" t="n"/>
      <c r="H48" s="97" t="n"/>
      <c r="I48" s="97" t="n"/>
      <c r="J48" s="92" t="n"/>
      <c r="K48" s="97" t="n"/>
      <c r="L48" s="97" t="n"/>
      <c r="M48" s="92" t="n"/>
      <c r="N48" s="97" t="n"/>
      <c r="O48" s="97" t="n"/>
      <c r="P48" s="92" t="n"/>
      <c r="Q48" s="97" t="n"/>
      <c r="R48" s="97" t="n"/>
      <c r="S48" s="92" t="n"/>
      <c r="T48" s="97" t="n"/>
      <c r="U48" s="97" t="n"/>
      <c r="V48" s="92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</row>
    <row r="49" ht="15.75" customHeight="1" s="85">
      <c r="A49" s="97" t="n"/>
      <c r="B49" s="93" t="n"/>
      <c r="C49" s="93" t="n"/>
      <c r="D49" s="96" t="n"/>
      <c r="E49" s="97" t="n"/>
      <c r="F49" s="97" t="n"/>
      <c r="G49" s="92" t="n"/>
      <c r="H49" s="97" t="n"/>
      <c r="I49" s="97" t="n"/>
      <c r="J49" s="92" t="n"/>
      <c r="K49" s="97" t="n"/>
      <c r="L49" s="97" t="n"/>
      <c r="M49" s="92" t="n"/>
      <c r="N49" s="97" t="n"/>
      <c r="O49" s="97" t="n"/>
      <c r="P49" s="92" t="n"/>
      <c r="Q49" s="97" t="n"/>
      <c r="R49" s="97" t="n"/>
      <c r="S49" s="92" t="n"/>
      <c r="T49" s="97" t="n"/>
      <c r="U49" s="97" t="n"/>
      <c r="V49" s="92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</row>
    <row r="50" ht="15.75" customHeight="1" s="85">
      <c r="A50" s="97" t="n"/>
      <c r="B50" s="93" t="n"/>
      <c r="C50" s="93" t="n"/>
      <c r="D50" s="96" t="n"/>
      <c r="E50" s="97" t="n"/>
      <c r="F50" s="97" t="n"/>
      <c r="G50" s="92" t="n"/>
      <c r="H50" s="97" t="n"/>
      <c r="I50" s="97" t="n"/>
      <c r="J50" s="92" t="n"/>
      <c r="K50" s="97" t="n"/>
      <c r="L50" s="97" t="n"/>
      <c r="M50" s="92" t="n"/>
      <c r="N50" s="97" t="n"/>
      <c r="O50" s="97" t="n"/>
      <c r="P50" s="92" t="n"/>
      <c r="Q50" s="97" t="n"/>
      <c r="R50" s="97" t="n"/>
      <c r="S50" s="92" t="n"/>
      <c r="T50" s="97" t="n"/>
      <c r="U50" s="97" t="n"/>
      <c r="V50" s="92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</row>
    <row r="51" ht="15.75" customHeight="1" s="85">
      <c r="A51" s="97" t="n"/>
      <c r="B51" s="93" t="n"/>
      <c r="C51" s="93" t="n"/>
      <c r="D51" s="96" t="n"/>
      <c r="E51" s="97" t="n"/>
      <c r="F51" s="97" t="n"/>
      <c r="G51" s="92" t="n"/>
      <c r="H51" s="97" t="n"/>
      <c r="I51" s="97" t="n"/>
      <c r="J51" s="92" t="n"/>
      <c r="K51" s="97" t="n"/>
      <c r="L51" s="97" t="n"/>
      <c r="M51" s="92" t="n"/>
      <c r="N51" s="97" t="n"/>
      <c r="O51" s="97" t="n"/>
      <c r="P51" s="92" t="n"/>
      <c r="Q51" s="97" t="n"/>
      <c r="R51" s="97" t="n"/>
      <c r="S51" s="92" t="n"/>
      <c r="T51" s="97" t="n"/>
      <c r="U51" s="97" t="n"/>
      <c r="V51" s="92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</row>
    <row r="52" ht="15.75" customHeight="1" s="85">
      <c r="A52" s="97" t="n"/>
      <c r="B52" s="93" t="n"/>
      <c r="C52" s="93" t="n"/>
      <c r="D52" s="96" t="n"/>
      <c r="E52" s="97" t="n"/>
      <c r="F52" s="97" t="n"/>
      <c r="G52" s="92" t="n"/>
      <c r="H52" s="97" t="n"/>
      <c r="I52" s="97" t="n"/>
      <c r="J52" s="92" t="n"/>
      <c r="K52" s="97" t="n"/>
      <c r="L52" s="97" t="n"/>
      <c r="M52" s="92" t="n"/>
      <c r="N52" s="97" t="n"/>
      <c r="O52" s="97" t="n"/>
      <c r="P52" s="92" t="n"/>
      <c r="Q52" s="97" t="n"/>
      <c r="R52" s="97" t="n"/>
      <c r="S52" s="92" t="n"/>
      <c r="T52" s="97" t="n"/>
      <c r="U52" s="97" t="n"/>
      <c r="V52" s="92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</row>
    <row r="53" ht="15.75" customHeight="1" s="85">
      <c r="A53" s="97" t="n"/>
      <c r="B53" s="93" t="n"/>
      <c r="C53" s="93" t="n"/>
      <c r="D53" s="96" t="n"/>
      <c r="E53" s="97" t="n"/>
      <c r="F53" s="97" t="n"/>
      <c r="G53" s="92" t="n"/>
      <c r="H53" s="97" t="n"/>
      <c r="I53" s="97" t="n"/>
      <c r="J53" s="92" t="n"/>
      <c r="K53" s="97" t="n"/>
      <c r="L53" s="97" t="n"/>
      <c r="M53" s="92" t="n"/>
      <c r="N53" s="97" t="n"/>
      <c r="O53" s="97" t="n"/>
      <c r="P53" s="92" t="n"/>
      <c r="Q53" s="97" t="n"/>
      <c r="R53" s="97" t="n"/>
      <c r="S53" s="92" t="n"/>
      <c r="T53" s="97" t="n"/>
      <c r="U53" s="97" t="n"/>
      <c r="V53" s="92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</row>
    <row r="54" ht="15.75" customHeight="1" s="85">
      <c r="A54" s="97" t="n"/>
      <c r="B54" s="93" t="n"/>
      <c r="C54" s="93" t="n"/>
      <c r="D54" s="96" t="n"/>
      <c r="E54" s="97" t="n"/>
      <c r="F54" s="97" t="n"/>
      <c r="G54" s="92" t="n"/>
      <c r="H54" s="97" t="n"/>
      <c r="I54" s="97" t="n"/>
      <c r="J54" s="92" t="n"/>
      <c r="K54" s="97" t="n"/>
      <c r="L54" s="97" t="n"/>
      <c r="M54" s="92" t="n"/>
      <c r="N54" s="97" t="n"/>
      <c r="O54" s="97" t="n"/>
      <c r="P54" s="92" t="n"/>
      <c r="Q54" s="97" t="n"/>
      <c r="R54" s="97" t="n"/>
      <c r="S54" s="92" t="n"/>
      <c r="T54" s="97" t="n"/>
      <c r="U54" s="97" t="n"/>
      <c r="V54" s="92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</row>
    <row r="55" ht="15.75" customHeight="1" s="85">
      <c r="A55" s="97" t="n"/>
      <c r="B55" s="93" t="n"/>
      <c r="C55" s="93" t="n"/>
      <c r="D55" s="96" t="n"/>
      <c r="E55" s="97" t="n"/>
      <c r="F55" s="97" t="n"/>
      <c r="G55" s="92" t="n"/>
      <c r="H55" s="97" t="n"/>
      <c r="I55" s="97" t="n"/>
      <c r="J55" s="92" t="n"/>
      <c r="K55" s="97" t="n"/>
      <c r="L55" s="97" t="n"/>
      <c r="M55" s="92" t="n"/>
      <c r="N55" s="97" t="n"/>
      <c r="O55" s="97" t="n"/>
      <c r="P55" s="92" t="n"/>
      <c r="Q55" s="97" t="n"/>
      <c r="R55" s="97" t="n"/>
      <c r="S55" s="92" t="n"/>
      <c r="T55" s="97" t="n"/>
      <c r="U55" s="97" t="n"/>
      <c r="V55" s="92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</row>
    <row r="56" ht="15.75" customHeight="1" s="85">
      <c r="A56" s="97" t="n"/>
      <c r="B56" s="93" t="n"/>
      <c r="C56" s="93" t="n"/>
      <c r="D56" s="96" t="n"/>
      <c r="E56" s="97" t="n"/>
      <c r="F56" s="97" t="n"/>
      <c r="G56" s="92" t="n"/>
      <c r="H56" s="97" t="n"/>
      <c r="I56" s="97" t="n"/>
      <c r="J56" s="92" t="n"/>
      <c r="K56" s="97" t="n"/>
      <c r="L56" s="97" t="n"/>
      <c r="M56" s="92" t="n"/>
      <c r="N56" s="97" t="n"/>
      <c r="O56" s="97" t="n"/>
      <c r="P56" s="92" t="n"/>
      <c r="Q56" s="97" t="n"/>
      <c r="R56" s="97" t="n"/>
      <c r="S56" s="92" t="n"/>
      <c r="T56" s="97" t="n"/>
      <c r="U56" s="97" t="n"/>
      <c r="V56" s="92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</row>
    <row r="57" ht="15.75" customHeight="1" s="85">
      <c r="A57" s="97" t="n"/>
      <c r="B57" s="93" t="n"/>
      <c r="C57" s="93" t="n"/>
      <c r="D57" s="96" t="n"/>
      <c r="E57" s="97" t="n"/>
      <c r="F57" s="97" t="n"/>
      <c r="G57" s="92" t="n"/>
      <c r="H57" s="97" t="n"/>
      <c r="I57" s="97" t="n"/>
      <c r="J57" s="92" t="n"/>
      <c r="K57" s="97" t="n"/>
      <c r="L57" s="97" t="n"/>
      <c r="M57" s="92" t="n"/>
      <c r="N57" s="97" t="n"/>
      <c r="O57" s="97" t="n"/>
      <c r="P57" s="92" t="n"/>
      <c r="Q57" s="97" t="n"/>
      <c r="R57" s="97" t="n"/>
      <c r="S57" s="92" t="n"/>
      <c r="T57" s="97" t="n"/>
      <c r="U57" s="97" t="n"/>
      <c r="V57" s="92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</row>
    <row r="58" ht="15.75" customHeight="1" s="85">
      <c r="A58" s="97" t="n"/>
      <c r="B58" s="93" t="n"/>
      <c r="C58" s="93" t="n"/>
      <c r="D58" s="96" t="n"/>
      <c r="E58" s="97" t="n"/>
      <c r="F58" s="97" t="n"/>
      <c r="G58" s="92" t="n"/>
      <c r="H58" s="97" t="n"/>
      <c r="I58" s="97" t="n"/>
      <c r="J58" s="92" t="n"/>
      <c r="K58" s="97" t="n"/>
      <c r="L58" s="97" t="n"/>
      <c r="M58" s="92" t="n"/>
      <c r="N58" s="97" t="n"/>
      <c r="O58" s="97" t="n"/>
      <c r="P58" s="92" t="n"/>
      <c r="Q58" s="97" t="n"/>
      <c r="R58" s="97" t="n"/>
      <c r="S58" s="92" t="n"/>
      <c r="T58" s="97" t="n"/>
      <c r="U58" s="97" t="n"/>
      <c r="V58" s="92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</row>
    <row r="59" ht="15.75" customHeight="1" s="85">
      <c r="A59" s="97" t="n"/>
      <c r="B59" s="93" t="n"/>
      <c r="C59" s="93" t="n"/>
      <c r="D59" s="96" t="n"/>
      <c r="E59" s="97" t="n"/>
      <c r="F59" s="97" t="n"/>
      <c r="G59" s="92" t="n"/>
      <c r="H59" s="97" t="n"/>
      <c r="I59" s="97" t="n"/>
      <c r="J59" s="92" t="n"/>
      <c r="K59" s="97" t="n"/>
      <c r="L59" s="97" t="n"/>
      <c r="M59" s="92" t="n"/>
      <c r="N59" s="97" t="n"/>
      <c r="O59" s="97" t="n"/>
      <c r="P59" s="92" t="n"/>
      <c r="Q59" s="97" t="n"/>
      <c r="R59" s="97" t="n"/>
      <c r="S59" s="92" t="n"/>
      <c r="T59" s="97" t="n"/>
      <c r="U59" s="97" t="n"/>
      <c r="V59" s="92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</row>
    <row r="60" ht="15.75" customHeight="1" s="85">
      <c r="A60" s="97" t="n"/>
      <c r="B60" s="93" t="n"/>
      <c r="C60" s="93" t="n"/>
      <c r="D60" s="96" t="n"/>
      <c r="E60" s="97" t="n"/>
      <c r="F60" s="97" t="n"/>
      <c r="G60" s="92" t="n"/>
      <c r="H60" s="97" t="n"/>
      <c r="I60" s="97" t="n"/>
      <c r="J60" s="92" t="n"/>
      <c r="K60" s="97" t="n"/>
      <c r="L60" s="97" t="n"/>
      <c r="M60" s="92" t="n"/>
      <c r="N60" s="97" t="n"/>
      <c r="O60" s="97" t="n"/>
      <c r="P60" s="92" t="n"/>
      <c r="Q60" s="97" t="n"/>
      <c r="R60" s="97" t="n"/>
      <c r="S60" s="92" t="n"/>
      <c r="T60" s="97" t="n"/>
      <c r="U60" s="97" t="n"/>
      <c r="V60" s="92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</row>
    <row r="61" ht="15.75" customHeight="1" s="85">
      <c r="A61" s="97" t="n"/>
      <c r="B61" s="93" t="n"/>
      <c r="C61" s="93" t="n"/>
      <c r="D61" s="96" t="n"/>
      <c r="E61" s="97" t="n"/>
      <c r="F61" s="97" t="n"/>
      <c r="G61" s="92" t="n"/>
      <c r="H61" s="97" t="n"/>
      <c r="I61" s="97" t="n"/>
      <c r="J61" s="92" t="n"/>
      <c r="K61" s="97" t="n"/>
      <c r="L61" s="97" t="n"/>
      <c r="M61" s="92" t="n"/>
      <c r="N61" s="97" t="n"/>
      <c r="O61" s="97" t="n"/>
      <c r="P61" s="92" t="n"/>
      <c r="Q61" s="97" t="n"/>
      <c r="R61" s="97" t="n"/>
      <c r="S61" s="92" t="n"/>
      <c r="T61" s="97" t="n"/>
      <c r="U61" s="97" t="n"/>
      <c r="V61" s="92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</row>
    <row r="62" ht="15.75" customHeight="1" s="85">
      <c r="A62" s="97" t="n"/>
      <c r="B62" s="93" t="n"/>
      <c r="C62" s="93" t="n"/>
      <c r="D62" s="96" t="n"/>
      <c r="E62" s="97" t="n"/>
      <c r="F62" s="97" t="n"/>
      <c r="G62" s="92" t="n"/>
      <c r="H62" s="97" t="n"/>
      <c r="I62" s="97" t="n"/>
      <c r="J62" s="92" t="n"/>
      <c r="K62" s="97" t="n"/>
      <c r="L62" s="97" t="n"/>
      <c r="M62" s="92" t="n"/>
      <c r="N62" s="97" t="n"/>
      <c r="O62" s="97" t="n"/>
      <c r="P62" s="92" t="n"/>
      <c r="Q62" s="97" t="n"/>
      <c r="R62" s="97" t="n"/>
      <c r="S62" s="92" t="n"/>
      <c r="T62" s="97" t="n"/>
      <c r="U62" s="97" t="n"/>
      <c r="V62" s="92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</row>
    <row r="63" ht="15.75" customHeight="1" s="85">
      <c r="A63" s="97" t="n"/>
      <c r="B63" s="93" t="n"/>
      <c r="C63" s="93" t="n"/>
      <c r="D63" s="96" t="n"/>
      <c r="E63" s="97" t="n"/>
      <c r="F63" s="97" t="n"/>
      <c r="G63" s="92" t="n"/>
      <c r="H63" s="97" t="n"/>
      <c r="I63" s="97" t="n"/>
      <c r="J63" s="92" t="n"/>
      <c r="K63" s="97" t="n"/>
      <c r="L63" s="97" t="n"/>
      <c r="M63" s="92" t="n"/>
      <c r="N63" s="97" t="n"/>
      <c r="O63" s="97" t="n"/>
      <c r="P63" s="92" t="n"/>
      <c r="Q63" s="97" t="n"/>
      <c r="R63" s="97" t="n"/>
      <c r="S63" s="92" t="n"/>
      <c r="T63" s="97" t="n"/>
      <c r="U63" s="97" t="n"/>
      <c r="V63" s="92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</row>
    <row r="64" ht="15.75" customHeight="1" s="85">
      <c r="A64" s="97" t="n"/>
      <c r="B64" s="93" t="n"/>
      <c r="C64" s="93" t="n"/>
      <c r="D64" s="96" t="n"/>
      <c r="E64" s="97" t="n"/>
      <c r="F64" s="97" t="n"/>
      <c r="G64" s="92" t="n"/>
      <c r="H64" s="97" t="n"/>
      <c r="I64" s="97" t="n"/>
      <c r="J64" s="92" t="n"/>
      <c r="K64" s="97" t="n"/>
      <c r="L64" s="97" t="n"/>
      <c r="M64" s="92" t="n"/>
      <c r="N64" s="97" t="n"/>
      <c r="O64" s="97" t="n"/>
      <c r="P64" s="92" t="n"/>
      <c r="Q64" s="97" t="n"/>
      <c r="R64" s="97" t="n"/>
      <c r="S64" s="92" t="n"/>
      <c r="T64" s="97" t="n"/>
      <c r="U64" s="97" t="n"/>
      <c r="V64" s="92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</row>
    <row r="65" ht="15.75" customHeight="1" s="85">
      <c r="A65" s="97" t="n"/>
      <c r="B65" s="93" t="n"/>
      <c r="C65" s="93" t="n"/>
      <c r="D65" s="96" t="n"/>
      <c r="E65" s="97" t="n"/>
      <c r="F65" s="97" t="n"/>
      <c r="G65" s="92" t="n"/>
      <c r="H65" s="97" t="n"/>
      <c r="I65" s="97" t="n"/>
      <c r="J65" s="92" t="n"/>
      <c r="K65" s="97" t="n"/>
      <c r="L65" s="97" t="n"/>
      <c r="M65" s="92" t="n"/>
      <c r="N65" s="97" t="n"/>
      <c r="O65" s="97" t="n"/>
      <c r="P65" s="92" t="n"/>
      <c r="Q65" s="97" t="n"/>
      <c r="R65" s="97" t="n"/>
      <c r="S65" s="92" t="n"/>
      <c r="T65" s="97" t="n"/>
      <c r="U65" s="97" t="n"/>
      <c r="V65" s="92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</row>
    <row r="66" ht="15.75" customHeight="1" s="85">
      <c r="A66" s="97" t="n"/>
      <c r="B66" s="93" t="n"/>
      <c r="C66" s="93" t="n"/>
      <c r="D66" s="96" t="n"/>
      <c r="E66" s="97" t="n"/>
      <c r="F66" s="97" t="n"/>
      <c r="G66" s="92" t="n"/>
      <c r="H66" s="97" t="n"/>
      <c r="I66" s="97" t="n"/>
      <c r="J66" s="92" t="n"/>
      <c r="K66" s="97" t="n"/>
      <c r="L66" s="97" t="n"/>
      <c r="M66" s="92" t="n"/>
      <c r="N66" s="97" t="n"/>
      <c r="O66" s="97" t="n"/>
      <c r="P66" s="92" t="n"/>
      <c r="Q66" s="97" t="n"/>
      <c r="R66" s="97" t="n"/>
      <c r="S66" s="92" t="n"/>
      <c r="T66" s="97" t="n"/>
      <c r="U66" s="97" t="n"/>
      <c r="V66" s="92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</row>
    <row r="67" ht="15.75" customHeight="1" s="85">
      <c r="A67" s="97" t="n"/>
      <c r="B67" s="93" t="n"/>
      <c r="C67" s="93" t="n"/>
      <c r="D67" s="96" t="n"/>
      <c r="E67" s="97" t="n"/>
      <c r="F67" s="97" t="n"/>
      <c r="G67" s="92" t="n"/>
      <c r="H67" s="97" t="n"/>
      <c r="I67" s="97" t="n"/>
      <c r="J67" s="92" t="n"/>
      <c r="K67" s="97" t="n"/>
      <c r="L67" s="97" t="n"/>
      <c r="M67" s="92" t="n"/>
      <c r="N67" s="97" t="n"/>
      <c r="O67" s="97" t="n"/>
      <c r="P67" s="92" t="n"/>
      <c r="Q67" s="97" t="n"/>
      <c r="R67" s="97" t="n"/>
      <c r="S67" s="92" t="n"/>
      <c r="T67" s="97" t="n"/>
      <c r="U67" s="97" t="n"/>
      <c r="V67" s="92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</row>
    <row r="68" ht="15.75" customHeight="1" s="85">
      <c r="A68" s="97" t="n"/>
      <c r="B68" s="93" t="n"/>
      <c r="C68" s="93" t="n"/>
      <c r="D68" s="96" t="n"/>
      <c r="E68" s="97" t="n"/>
      <c r="F68" s="97" t="n"/>
      <c r="G68" s="92" t="n"/>
      <c r="H68" s="97" t="n"/>
      <c r="I68" s="97" t="n"/>
      <c r="J68" s="92" t="n"/>
      <c r="K68" s="97" t="n"/>
      <c r="L68" s="97" t="n"/>
      <c r="M68" s="92" t="n"/>
      <c r="N68" s="97" t="n"/>
      <c r="O68" s="97" t="n"/>
      <c r="P68" s="92" t="n"/>
      <c r="Q68" s="97" t="n"/>
      <c r="R68" s="97" t="n"/>
      <c r="S68" s="92" t="n"/>
      <c r="T68" s="97" t="n"/>
      <c r="U68" s="97" t="n"/>
      <c r="V68" s="92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</row>
    <row r="69" ht="15.75" customHeight="1" s="85">
      <c r="A69" s="97" t="n"/>
      <c r="B69" s="93" t="n"/>
      <c r="C69" s="93" t="n"/>
      <c r="D69" s="96" t="n"/>
      <c r="E69" s="97" t="n"/>
      <c r="F69" s="97" t="n"/>
      <c r="G69" s="92" t="n"/>
      <c r="H69" s="97" t="n"/>
      <c r="I69" s="97" t="n"/>
      <c r="J69" s="92" t="n"/>
      <c r="K69" s="97" t="n"/>
      <c r="L69" s="97" t="n"/>
      <c r="M69" s="92" t="n"/>
      <c r="N69" s="97" t="n"/>
      <c r="O69" s="97" t="n"/>
      <c r="P69" s="92" t="n"/>
      <c r="Q69" s="97" t="n"/>
      <c r="R69" s="97" t="n"/>
      <c r="S69" s="92" t="n"/>
      <c r="T69" s="97" t="n"/>
      <c r="U69" s="97" t="n"/>
      <c r="V69" s="92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</row>
    <row r="70" ht="15.75" customHeight="1" s="85">
      <c r="A70" s="97" t="n"/>
      <c r="B70" s="93" t="n"/>
      <c r="C70" s="93" t="n"/>
      <c r="D70" s="96" t="n"/>
      <c r="E70" s="97" t="n"/>
      <c r="F70" s="97" t="n"/>
      <c r="G70" s="92" t="n"/>
      <c r="H70" s="97" t="n"/>
      <c r="I70" s="97" t="n"/>
      <c r="J70" s="92" t="n"/>
      <c r="K70" s="97" t="n"/>
      <c r="L70" s="97" t="n"/>
      <c r="M70" s="92" t="n"/>
      <c r="N70" s="97" t="n"/>
      <c r="O70" s="97" t="n"/>
      <c r="P70" s="92" t="n"/>
      <c r="Q70" s="97" t="n"/>
      <c r="R70" s="97" t="n"/>
      <c r="S70" s="92" t="n"/>
      <c r="T70" s="97" t="n"/>
      <c r="U70" s="97" t="n"/>
      <c r="V70" s="92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</row>
    <row r="71" ht="15.75" customHeight="1" s="85">
      <c r="A71" s="97" t="n"/>
      <c r="B71" s="93" t="n"/>
      <c r="C71" s="93" t="n"/>
      <c r="D71" s="96" t="n"/>
      <c r="E71" s="97" t="n"/>
      <c r="F71" s="97" t="n"/>
      <c r="G71" s="92" t="n"/>
      <c r="H71" s="97" t="n"/>
      <c r="I71" s="97" t="n"/>
      <c r="J71" s="92" t="n"/>
      <c r="K71" s="97" t="n"/>
      <c r="L71" s="97" t="n"/>
      <c r="M71" s="92" t="n"/>
      <c r="N71" s="97" t="n"/>
      <c r="O71" s="97" t="n"/>
      <c r="P71" s="92" t="n"/>
      <c r="Q71" s="97" t="n"/>
      <c r="R71" s="97" t="n"/>
      <c r="S71" s="92" t="n"/>
      <c r="T71" s="97" t="n"/>
      <c r="U71" s="97" t="n"/>
      <c r="V71" s="92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</row>
    <row r="72" ht="15.75" customHeight="1" s="85">
      <c r="A72" s="97" t="n"/>
      <c r="B72" s="93" t="n"/>
      <c r="C72" s="93" t="n"/>
      <c r="D72" s="96" t="n"/>
      <c r="E72" s="97" t="n"/>
      <c r="F72" s="97" t="n"/>
      <c r="G72" s="92" t="n"/>
      <c r="H72" s="97" t="n"/>
      <c r="I72" s="97" t="n"/>
      <c r="J72" s="92" t="n"/>
      <c r="K72" s="97" t="n"/>
      <c r="L72" s="97" t="n"/>
      <c r="M72" s="92" t="n"/>
      <c r="N72" s="97" t="n"/>
      <c r="O72" s="97" t="n"/>
      <c r="P72" s="92" t="n"/>
      <c r="Q72" s="97" t="n"/>
      <c r="R72" s="97" t="n"/>
      <c r="S72" s="92" t="n"/>
      <c r="T72" s="97" t="n"/>
      <c r="U72" s="97" t="n"/>
      <c r="V72" s="92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</row>
    <row r="73" ht="15.75" customHeight="1" s="85">
      <c r="A73" s="97" t="n"/>
      <c r="B73" s="93" t="n"/>
      <c r="C73" s="93" t="n"/>
      <c r="D73" s="96" t="n"/>
      <c r="E73" s="97" t="n"/>
      <c r="F73" s="97" t="n"/>
      <c r="G73" s="92" t="n"/>
      <c r="H73" s="97" t="n"/>
      <c r="I73" s="97" t="n"/>
      <c r="J73" s="92" t="n"/>
      <c r="K73" s="97" t="n"/>
      <c r="L73" s="97" t="n"/>
      <c r="M73" s="92" t="n"/>
      <c r="N73" s="97" t="n"/>
      <c r="O73" s="97" t="n"/>
      <c r="P73" s="92" t="n"/>
      <c r="Q73" s="97" t="n"/>
      <c r="R73" s="97" t="n"/>
      <c r="S73" s="92" t="n"/>
      <c r="T73" s="97" t="n"/>
      <c r="U73" s="97" t="n"/>
      <c r="V73" s="92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</row>
    <row r="74" ht="15.75" customHeight="1" s="85">
      <c r="A74" s="97" t="n"/>
      <c r="B74" s="93" t="n"/>
      <c r="C74" s="93" t="n"/>
      <c r="D74" s="96" t="n"/>
      <c r="E74" s="97" t="n"/>
      <c r="F74" s="97" t="n"/>
      <c r="G74" s="92" t="n"/>
      <c r="H74" s="97" t="n"/>
      <c r="I74" s="97" t="n"/>
      <c r="J74" s="92" t="n"/>
      <c r="K74" s="97" t="n"/>
      <c r="L74" s="97" t="n"/>
      <c r="M74" s="92" t="n"/>
      <c r="N74" s="97" t="n"/>
      <c r="O74" s="97" t="n"/>
      <c r="P74" s="92" t="n"/>
      <c r="Q74" s="97" t="n"/>
      <c r="R74" s="97" t="n"/>
      <c r="S74" s="92" t="n"/>
      <c r="T74" s="97" t="n"/>
      <c r="U74" s="97" t="n"/>
      <c r="V74" s="92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</row>
    <row r="75" ht="15.75" customHeight="1" s="85">
      <c r="A75" s="97" t="n"/>
      <c r="B75" s="93" t="n"/>
      <c r="C75" s="93" t="n"/>
      <c r="D75" s="96" t="n"/>
      <c r="E75" s="97" t="n"/>
      <c r="F75" s="97" t="n"/>
      <c r="G75" s="92" t="n"/>
      <c r="H75" s="97" t="n"/>
      <c r="I75" s="97" t="n"/>
      <c r="J75" s="92" t="n"/>
      <c r="K75" s="97" t="n"/>
      <c r="L75" s="97" t="n"/>
      <c r="M75" s="92" t="n"/>
      <c r="N75" s="97" t="n"/>
      <c r="O75" s="97" t="n"/>
      <c r="P75" s="92" t="n"/>
      <c r="Q75" s="97" t="n"/>
      <c r="R75" s="97" t="n"/>
      <c r="S75" s="92" t="n"/>
      <c r="T75" s="97" t="n"/>
      <c r="U75" s="97" t="n"/>
      <c r="V75" s="92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</row>
    <row r="76" ht="15.75" customHeight="1" s="85">
      <c r="A76" s="97" t="n"/>
      <c r="B76" s="93" t="n"/>
      <c r="C76" s="93" t="n"/>
      <c r="D76" s="96" t="n"/>
      <c r="E76" s="97" t="n"/>
      <c r="F76" s="97" t="n"/>
      <c r="G76" s="92" t="n"/>
      <c r="H76" s="97" t="n"/>
      <c r="I76" s="97" t="n"/>
      <c r="J76" s="92" t="n"/>
      <c r="K76" s="97" t="n"/>
      <c r="L76" s="97" t="n"/>
      <c r="M76" s="92" t="n"/>
      <c r="N76" s="97" t="n"/>
      <c r="O76" s="97" t="n"/>
      <c r="P76" s="92" t="n"/>
      <c r="Q76" s="97" t="n"/>
      <c r="R76" s="97" t="n"/>
      <c r="S76" s="92" t="n"/>
      <c r="T76" s="97" t="n"/>
      <c r="U76" s="97" t="n"/>
      <c r="V76" s="92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</row>
    <row r="77" ht="15.75" customHeight="1" s="85">
      <c r="A77" s="97" t="n"/>
      <c r="B77" s="93" t="n"/>
      <c r="C77" s="93" t="n"/>
      <c r="D77" s="96" t="n"/>
      <c r="E77" s="97" t="n"/>
      <c r="F77" s="97" t="n"/>
      <c r="G77" s="92" t="n"/>
      <c r="H77" s="97" t="n"/>
      <c r="I77" s="97" t="n"/>
      <c r="J77" s="92" t="n"/>
      <c r="K77" s="97" t="n"/>
      <c r="L77" s="97" t="n"/>
      <c r="M77" s="92" t="n"/>
      <c r="N77" s="97" t="n"/>
      <c r="O77" s="97" t="n"/>
      <c r="P77" s="92" t="n"/>
      <c r="Q77" s="97" t="n"/>
      <c r="R77" s="97" t="n"/>
      <c r="S77" s="92" t="n"/>
      <c r="T77" s="97" t="n"/>
      <c r="U77" s="97" t="n"/>
      <c r="V77" s="92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</row>
    <row r="78" ht="15.75" customHeight="1" s="85">
      <c r="A78" s="97" t="n"/>
      <c r="B78" s="93" t="n"/>
      <c r="C78" s="93" t="n"/>
      <c r="D78" s="96" t="n"/>
      <c r="E78" s="97" t="n"/>
      <c r="F78" s="97" t="n"/>
      <c r="G78" s="92" t="n"/>
      <c r="H78" s="97" t="n"/>
      <c r="I78" s="97" t="n"/>
      <c r="J78" s="92" t="n"/>
      <c r="K78" s="97" t="n"/>
      <c r="L78" s="97" t="n"/>
      <c r="M78" s="92" t="n"/>
      <c r="N78" s="97" t="n"/>
      <c r="O78" s="97" t="n"/>
      <c r="P78" s="92" t="n"/>
      <c r="Q78" s="97" t="n"/>
      <c r="R78" s="97" t="n"/>
      <c r="S78" s="92" t="n"/>
      <c r="T78" s="97" t="n"/>
      <c r="U78" s="97" t="n"/>
      <c r="V78" s="92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</row>
    <row r="79" ht="15.75" customHeight="1" s="85">
      <c r="A79" s="97" t="n"/>
      <c r="B79" s="93" t="n"/>
      <c r="C79" s="93" t="n"/>
      <c r="D79" s="96" t="n"/>
      <c r="E79" s="97" t="n"/>
      <c r="F79" s="97" t="n"/>
      <c r="G79" s="92" t="n"/>
      <c r="H79" s="97" t="n"/>
      <c r="I79" s="97" t="n"/>
      <c r="J79" s="92" t="n"/>
      <c r="K79" s="97" t="n"/>
      <c r="L79" s="97" t="n"/>
      <c r="M79" s="92" t="n"/>
      <c r="N79" s="97" t="n"/>
      <c r="O79" s="97" t="n"/>
      <c r="P79" s="92" t="n"/>
      <c r="Q79" s="97" t="n"/>
      <c r="R79" s="97" t="n"/>
      <c r="S79" s="92" t="n"/>
      <c r="T79" s="97" t="n"/>
      <c r="U79" s="97" t="n"/>
      <c r="V79" s="92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</row>
    <row r="80" ht="15.75" customHeight="1" s="85">
      <c r="A80" s="97" t="n"/>
      <c r="B80" s="93" t="n"/>
      <c r="C80" s="93" t="n"/>
      <c r="D80" s="96" t="n"/>
      <c r="E80" s="97" t="n"/>
      <c r="F80" s="97" t="n"/>
      <c r="G80" s="92" t="n"/>
      <c r="H80" s="97" t="n"/>
      <c r="I80" s="97" t="n"/>
      <c r="J80" s="92" t="n"/>
      <c r="K80" s="97" t="n"/>
      <c r="L80" s="97" t="n"/>
      <c r="M80" s="92" t="n"/>
      <c r="N80" s="97" t="n"/>
      <c r="O80" s="97" t="n"/>
      <c r="P80" s="92" t="n"/>
      <c r="Q80" s="97" t="n"/>
      <c r="R80" s="97" t="n"/>
      <c r="S80" s="92" t="n"/>
      <c r="T80" s="97" t="n"/>
      <c r="U80" s="97" t="n"/>
      <c r="V80" s="92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</row>
    <row r="81" ht="15.75" customHeight="1" s="85">
      <c r="A81" s="97" t="n"/>
      <c r="B81" s="93" t="n"/>
      <c r="C81" s="93" t="n"/>
      <c r="D81" s="96" t="n"/>
      <c r="E81" s="97" t="n"/>
      <c r="F81" s="97" t="n"/>
      <c r="G81" s="92" t="n"/>
      <c r="H81" s="97" t="n"/>
      <c r="I81" s="97" t="n"/>
      <c r="J81" s="92" t="n"/>
      <c r="K81" s="97" t="n"/>
      <c r="L81" s="97" t="n"/>
      <c r="M81" s="92" t="n"/>
      <c r="N81" s="97" t="n"/>
      <c r="O81" s="97" t="n"/>
      <c r="P81" s="92" t="n"/>
      <c r="Q81" s="97" t="n"/>
      <c r="R81" s="97" t="n"/>
      <c r="S81" s="92" t="n"/>
      <c r="T81" s="97" t="n"/>
      <c r="U81" s="97" t="n"/>
      <c r="V81" s="92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</row>
    <row r="82" ht="15.75" customHeight="1" s="85">
      <c r="A82" s="97" t="n"/>
      <c r="B82" s="93" t="n"/>
      <c r="C82" s="93" t="n"/>
      <c r="D82" s="96" t="n"/>
      <c r="E82" s="97" t="n"/>
      <c r="F82" s="97" t="n"/>
      <c r="G82" s="92" t="n"/>
      <c r="H82" s="97" t="n"/>
      <c r="I82" s="97" t="n"/>
      <c r="J82" s="92" t="n"/>
      <c r="K82" s="97" t="n"/>
      <c r="L82" s="97" t="n"/>
      <c r="M82" s="92" t="n"/>
      <c r="N82" s="97" t="n"/>
      <c r="O82" s="97" t="n"/>
      <c r="P82" s="92" t="n"/>
      <c r="Q82" s="97" t="n"/>
      <c r="R82" s="97" t="n"/>
      <c r="S82" s="92" t="n"/>
      <c r="T82" s="97" t="n"/>
      <c r="U82" s="97" t="n"/>
      <c r="V82" s="92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</row>
    <row r="83" ht="15.75" customHeight="1" s="85">
      <c r="A83" s="97" t="n"/>
      <c r="B83" s="93" t="n"/>
      <c r="C83" s="93" t="n"/>
      <c r="D83" s="96" t="n"/>
      <c r="E83" s="97" t="n"/>
      <c r="F83" s="97" t="n"/>
      <c r="G83" s="92" t="n"/>
      <c r="H83" s="97" t="n"/>
      <c r="I83" s="97" t="n"/>
      <c r="J83" s="92" t="n"/>
      <c r="K83" s="97" t="n"/>
      <c r="L83" s="97" t="n"/>
      <c r="M83" s="92" t="n"/>
      <c r="N83" s="97" t="n"/>
      <c r="O83" s="97" t="n"/>
      <c r="P83" s="92" t="n"/>
      <c r="Q83" s="97" t="n"/>
      <c r="R83" s="97" t="n"/>
      <c r="S83" s="92" t="n"/>
      <c r="T83" s="97" t="n"/>
      <c r="U83" s="97" t="n"/>
      <c r="V83" s="92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</row>
    <row r="84" ht="15.75" customHeight="1" s="85">
      <c r="A84" s="97" t="n"/>
      <c r="B84" s="93" t="n"/>
      <c r="C84" s="93" t="n"/>
      <c r="D84" s="96" t="n"/>
      <c r="E84" s="97" t="n"/>
      <c r="F84" s="97" t="n"/>
      <c r="G84" s="92" t="n"/>
      <c r="H84" s="97" t="n"/>
      <c r="I84" s="97" t="n"/>
      <c r="J84" s="92" t="n"/>
      <c r="K84" s="97" t="n"/>
      <c r="L84" s="97" t="n"/>
      <c r="M84" s="92" t="n"/>
      <c r="N84" s="97" t="n"/>
      <c r="O84" s="97" t="n"/>
      <c r="P84" s="92" t="n"/>
      <c r="Q84" s="97" t="n"/>
      <c r="R84" s="97" t="n"/>
      <c r="S84" s="92" t="n"/>
      <c r="T84" s="97" t="n"/>
      <c r="U84" s="97" t="n"/>
      <c r="V84" s="92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</row>
    <row r="85" ht="15.75" customHeight="1" s="85">
      <c r="A85" s="97" t="n"/>
      <c r="B85" s="93" t="n"/>
      <c r="C85" s="93" t="n"/>
      <c r="D85" s="96" t="n"/>
      <c r="E85" s="97" t="n"/>
      <c r="F85" s="97" t="n"/>
      <c r="G85" s="92" t="n"/>
      <c r="H85" s="97" t="n"/>
      <c r="I85" s="97" t="n"/>
      <c r="J85" s="92" t="n"/>
      <c r="K85" s="97" t="n"/>
      <c r="L85" s="97" t="n"/>
      <c r="M85" s="92" t="n"/>
      <c r="N85" s="97" t="n"/>
      <c r="O85" s="97" t="n"/>
      <c r="P85" s="92" t="n"/>
      <c r="Q85" s="97" t="n"/>
      <c r="R85" s="97" t="n"/>
      <c r="S85" s="92" t="n"/>
      <c r="T85" s="97" t="n"/>
      <c r="U85" s="97" t="n"/>
      <c r="V85" s="92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</row>
    <row r="86" ht="15.75" customHeight="1" s="85">
      <c r="A86" s="97" t="n"/>
      <c r="B86" s="93" t="n"/>
      <c r="C86" s="93" t="n"/>
      <c r="D86" s="96" t="n"/>
      <c r="E86" s="97" t="n"/>
      <c r="F86" s="97" t="n"/>
      <c r="G86" s="92" t="n"/>
      <c r="H86" s="97" t="n"/>
      <c r="I86" s="97" t="n"/>
      <c r="J86" s="92" t="n"/>
      <c r="K86" s="97" t="n"/>
      <c r="L86" s="97" t="n"/>
      <c r="M86" s="92" t="n"/>
      <c r="N86" s="97" t="n"/>
      <c r="O86" s="97" t="n"/>
      <c r="P86" s="92" t="n"/>
      <c r="Q86" s="97" t="n"/>
      <c r="R86" s="97" t="n"/>
      <c r="S86" s="92" t="n"/>
      <c r="T86" s="97" t="n"/>
      <c r="U86" s="97" t="n"/>
      <c r="V86" s="92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</row>
    <row r="87" ht="15.75" customHeight="1" s="85">
      <c r="A87" s="97" t="n"/>
      <c r="B87" s="93" t="n"/>
      <c r="C87" s="93" t="n"/>
      <c r="D87" s="96" t="n"/>
      <c r="E87" s="97" t="n"/>
      <c r="F87" s="97" t="n"/>
      <c r="G87" s="92" t="n"/>
      <c r="H87" s="97" t="n"/>
      <c r="I87" s="97" t="n"/>
      <c r="J87" s="92" t="n"/>
      <c r="K87" s="97" t="n"/>
      <c r="L87" s="97" t="n"/>
      <c r="M87" s="92" t="n"/>
      <c r="N87" s="97" t="n"/>
      <c r="O87" s="97" t="n"/>
      <c r="P87" s="92" t="n"/>
      <c r="Q87" s="97" t="n"/>
      <c r="R87" s="97" t="n"/>
      <c r="S87" s="92" t="n"/>
      <c r="T87" s="97" t="n"/>
      <c r="U87" s="97" t="n"/>
      <c r="V87" s="92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</row>
    <row r="88" ht="15.75" customHeight="1" s="85">
      <c r="A88" s="97" t="n"/>
      <c r="B88" s="93" t="n"/>
      <c r="C88" s="93" t="n"/>
      <c r="D88" s="96" t="n"/>
      <c r="E88" s="97" t="n"/>
      <c r="F88" s="97" t="n"/>
      <c r="G88" s="92" t="n"/>
      <c r="H88" s="97" t="n"/>
      <c r="I88" s="97" t="n"/>
      <c r="J88" s="92" t="n"/>
      <c r="K88" s="97" t="n"/>
      <c r="L88" s="97" t="n"/>
      <c r="M88" s="92" t="n"/>
      <c r="N88" s="97" t="n"/>
      <c r="O88" s="97" t="n"/>
      <c r="P88" s="92" t="n"/>
      <c r="Q88" s="97" t="n"/>
      <c r="R88" s="97" t="n"/>
      <c r="S88" s="92" t="n"/>
      <c r="T88" s="97" t="n"/>
      <c r="U88" s="97" t="n"/>
      <c r="V88" s="92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</row>
    <row r="89" ht="15.75" customHeight="1" s="85">
      <c r="A89" s="97" t="n"/>
      <c r="B89" s="93" t="n"/>
      <c r="C89" s="93" t="n"/>
      <c r="D89" s="96" t="n"/>
      <c r="E89" s="97" t="n"/>
      <c r="F89" s="97" t="n"/>
      <c r="G89" s="92" t="n"/>
      <c r="H89" s="97" t="n"/>
      <c r="I89" s="97" t="n"/>
      <c r="J89" s="92" t="n"/>
      <c r="K89" s="97" t="n"/>
      <c r="L89" s="97" t="n"/>
      <c r="M89" s="92" t="n"/>
      <c r="N89" s="97" t="n"/>
      <c r="O89" s="97" t="n"/>
      <c r="P89" s="92" t="n"/>
      <c r="Q89" s="97" t="n"/>
      <c r="R89" s="97" t="n"/>
      <c r="S89" s="92" t="n"/>
      <c r="T89" s="97" t="n"/>
      <c r="U89" s="97" t="n"/>
      <c r="V89" s="92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</row>
    <row r="90" ht="15.75" customHeight="1" s="85">
      <c r="A90" s="97" t="n"/>
      <c r="B90" s="93" t="n"/>
      <c r="C90" s="93" t="n"/>
      <c r="D90" s="96" t="n"/>
      <c r="E90" s="97" t="n"/>
      <c r="F90" s="97" t="n"/>
      <c r="G90" s="92" t="n"/>
      <c r="H90" s="97" t="n"/>
      <c r="I90" s="97" t="n"/>
      <c r="J90" s="92" t="n"/>
      <c r="K90" s="97" t="n"/>
      <c r="L90" s="97" t="n"/>
      <c r="M90" s="92" t="n"/>
      <c r="N90" s="97" t="n"/>
      <c r="O90" s="97" t="n"/>
      <c r="P90" s="92" t="n"/>
      <c r="Q90" s="97" t="n"/>
      <c r="R90" s="97" t="n"/>
      <c r="S90" s="92" t="n"/>
      <c r="T90" s="97" t="n"/>
      <c r="U90" s="97" t="n"/>
      <c r="V90" s="92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</row>
    <row r="91" ht="15.75" customHeight="1" s="85">
      <c r="A91" s="97" t="n"/>
      <c r="B91" s="93" t="n"/>
      <c r="C91" s="93" t="n"/>
      <c r="D91" s="96" t="n"/>
      <c r="E91" s="97" t="n"/>
      <c r="F91" s="97" t="n"/>
      <c r="G91" s="92" t="n"/>
      <c r="H91" s="97" t="n"/>
      <c r="I91" s="97" t="n"/>
      <c r="J91" s="92" t="n"/>
      <c r="K91" s="97" t="n"/>
      <c r="L91" s="97" t="n"/>
      <c r="M91" s="92" t="n"/>
      <c r="N91" s="97" t="n"/>
      <c r="O91" s="97" t="n"/>
      <c r="P91" s="92" t="n"/>
      <c r="Q91" s="97" t="n"/>
      <c r="R91" s="97" t="n"/>
      <c r="S91" s="92" t="n"/>
      <c r="T91" s="97" t="n"/>
      <c r="U91" s="97" t="n"/>
      <c r="V91" s="92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</row>
    <row r="92" ht="15.75" customHeight="1" s="85">
      <c r="A92" s="97" t="n"/>
      <c r="B92" s="93" t="n"/>
      <c r="C92" s="93" t="n"/>
      <c r="D92" s="96" t="n"/>
      <c r="E92" s="97" t="n"/>
      <c r="F92" s="97" t="n"/>
      <c r="G92" s="92" t="n"/>
      <c r="H92" s="97" t="n"/>
      <c r="I92" s="97" t="n"/>
      <c r="J92" s="92" t="n"/>
      <c r="K92" s="97" t="n"/>
      <c r="L92" s="97" t="n"/>
      <c r="M92" s="92" t="n"/>
      <c r="N92" s="97" t="n"/>
      <c r="O92" s="97" t="n"/>
      <c r="P92" s="92" t="n"/>
      <c r="Q92" s="97" t="n"/>
      <c r="R92" s="97" t="n"/>
      <c r="S92" s="92" t="n"/>
      <c r="T92" s="97" t="n"/>
      <c r="U92" s="97" t="n"/>
      <c r="V92" s="92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</row>
    <row r="93" ht="15.75" customHeight="1" s="85">
      <c r="A93" s="97" t="n"/>
      <c r="B93" s="93" t="n"/>
      <c r="C93" s="93" t="n"/>
      <c r="D93" s="96" t="n"/>
      <c r="E93" s="97" t="n"/>
      <c r="F93" s="97" t="n"/>
      <c r="G93" s="92" t="n"/>
      <c r="H93" s="97" t="n"/>
      <c r="I93" s="97" t="n"/>
      <c r="J93" s="92" t="n"/>
      <c r="K93" s="97" t="n"/>
      <c r="L93" s="97" t="n"/>
      <c r="M93" s="92" t="n"/>
      <c r="N93" s="97" t="n"/>
      <c r="O93" s="97" t="n"/>
      <c r="P93" s="92" t="n"/>
      <c r="Q93" s="97" t="n"/>
      <c r="R93" s="97" t="n"/>
      <c r="S93" s="92" t="n"/>
      <c r="T93" s="97" t="n"/>
      <c r="U93" s="97" t="n"/>
      <c r="V93" s="92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</row>
    <row r="94" ht="15.75" customHeight="1" s="85">
      <c r="A94" s="97" t="n"/>
      <c r="B94" s="93" t="n"/>
      <c r="C94" s="93" t="n"/>
      <c r="D94" s="96" t="n"/>
      <c r="E94" s="97" t="n"/>
      <c r="F94" s="97" t="n"/>
      <c r="G94" s="92" t="n"/>
      <c r="H94" s="97" t="n"/>
      <c r="I94" s="97" t="n"/>
      <c r="J94" s="92" t="n"/>
      <c r="K94" s="97" t="n"/>
      <c r="L94" s="97" t="n"/>
      <c r="M94" s="92" t="n"/>
      <c r="N94" s="97" t="n"/>
      <c r="O94" s="97" t="n"/>
      <c r="P94" s="92" t="n"/>
      <c r="Q94" s="97" t="n"/>
      <c r="R94" s="97" t="n"/>
      <c r="S94" s="92" t="n"/>
      <c r="T94" s="97" t="n"/>
      <c r="U94" s="97" t="n"/>
      <c r="V94" s="92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</row>
    <row r="95" ht="15.75" customHeight="1" s="85">
      <c r="A95" s="97" t="n"/>
      <c r="B95" s="93" t="n"/>
      <c r="C95" s="93" t="n"/>
      <c r="D95" s="96" t="n"/>
      <c r="E95" s="97" t="n"/>
      <c r="F95" s="97" t="n"/>
      <c r="G95" s="92" t="n"/>
      <c r="H95" s="97" t="n"/>
      <c r="I95" s="97" t="n"/>
      <c r="J95" s="92" t="n"/>
      <c r="K95" s="97" t="n"/>
      <c r="L95" s="97" t="n"/>
      <c r="M95" s="92" t="n"/>
      <c r="N95" s="97" t="n"/>
      <c r="O95" s="97" t="n"/>
      <c r="P95" s="92" t="n"/>
      <c r="Q95" s="97" t="n"/>
      <c r="R95" s="97" t="n"/>
      <c r="S95" s="92" t="n"/>
      <c r="T95" s="97" t="n"/>
      <c r="U95" s="97" t="n"/>
      <c r="V95" s="92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</row>
    <row r="96" ht="15.75" customHeight="1" s="85">
      <c r="A96" s="97" t="n"/>
      <c r="B96" s="93" t="n"/>
      <c r="C96" s="93" t="n"/>
      <c r="D96" s="96" t="n"/>
      <c r="E96" s="97" t="n"/>
      <c r="F96" s="97" t="n"/>
      <c r="G96" s="92" t="n"/>
      <c r="H96" s="97" t="n"/>
      <c r="I96" s="97" t="n"/>
      <c r="J96" s="92" t="n"/>
      <c r="K96" s="97" t="n"/>
      <c r="L96" s="97" t="n"/>
      <c r="M96" s="92" t="n"/>
      <c r="N96" s="97" t="n"/>
      <c r="O96" s="97" t="n"/>
      <c r="P96" s="92" t="n"/>
      <c r="Q96" s="97" t="n"/>
      <c r="R96" s="97" t="n"/>
      <c r="S96" s="92" t="n"/>
      <c r="T96" s="97" t="n"/>
      <c r="U96" s="97" t="n"/>
      <c r="V96" s="92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</row>
    <row r="97" ht="15.75" customHeight="1" s="85">
      <c r="A97" s="97" t="n"/>
      <c r="B97" s="93" t="n"/>
      <c r="C97" s="93" t="n"/>
      <c r="D97" s="96" t="n"/>
      <c r="E97" s="97" t="n"/>
      <c r="F97" s="97" t="n"/>
      <c r="G97" s="92" t="n"/>
      <c r="H97" s="97" t="n"/>
      <c r="I97" s="97" t="n"/>
      <c r="J97" s="92" t="n"/>
      <c r="K97" s="97" t="n"/>
      <c r="L97" s="97" t="n"/>
      <c r="M97" s="92" t="n"/>
      <c r="N97" s="97" t="n"/>
      <c r="O97" s="97" t="n"/>
      <c r="P97" s="92" t="n"/>
      <c r="Q97" s="97" t="n"/>
      <c r="R97" s="97" t="n"/>
      <c r="S97" s="92" t="n"/>
      <c r="T97" s="97" t="n"/>
      <c r="U97" s="97" t="n"/>
      <c r="V97" s="92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</row>
    <row r="98" ht="15.75" customHeight="1" s="85">
      <c r="A98" s="97" t="n"/>
      <c r="B98" s="93" t="n"/>
      <c r="C98" s="93" t="n"/>
      <c r="D98" s="96" t="n"/>
      <c r="E98" s="97" t="n"/>
      <c r="F98" s="97" t="n"/>
      <c r="G98" s="92" t="n"/>
      <c r="H98" s="97" t="n"/>
      <c r="I98" s="97" t="n"/>
      <c r="J98" s="92" t="n"/>
      <c r="K98" s="97" t="n"/>
      <c r="L98" s="97" t="n"/>
      <c r="M98" s="92" t="n"/>
      <c r="N98" s="97" t="n"/>
      <c r="O98" s="97" t="n"/>
      <c r="P98" s="92" t="n"/>
      <c r="Q98" s="97" t="n"/>
      <c r="R98" s="97" t="n"/>
      <c r="S98" s="92" t="n"/>
      <c r="T98" s="97" t="n"/>
      <c r="U98" s="97" t="n"/>
      <c r="V98" s="92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</row>
    <row r="99" ht="15.75" customHeight="1" s="85">
      <c r="A99" s="97" t="n"/>
      <c r="B99" s="93" t="n"/>
      <c r="C99" s="93" t="n"/>
      <c r="D99" s="96" t="n"/>
      <c r="E99" s="97" t="n"/>
      <c r="F99" s="97" t="n"/>
      <c r="G99" s="92" t="n"/>
      <c r="H99" s="97" t="n"/>
      <c r="I99" s="97" t="n"/>
      <c r="J99" s="92" t="n"/>
      <c r="K99" s="97" t="n"/>
      <c r="L99" s="97" t="n"/>
      <c r="M99" s="92" t="n"/>
      <c r="N99" s="97" t="n"/>
      <c r="O99" s="97" t="n"/>
      <c r="P99" s="92" t="n"/>
      <c r="Q99" s="97" t="n"/>
      <c r="R99" s="97" t="n"/>
      <c r="S99" s="92" t="n"/>
      <c r="T99" s="97" t="n"/>
      <c r="U99" s="97" t="n"/>
      <c r="V99" s="92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</row>
    <row r="100" ht="15.75" customHeight="1" s="85">
      <c r="A100" s="97" t="n"/>
      <c r="B100" s="93" t="n"/>
      <c r="C100" s="93" t="n"/>
      <c r="D100" s="96" t="n"/>
      <c r="E100" s="97" t="n"/>
      <c r="F100" s="97" t="n"/>
      <c r="G100" s="92" t="n"/>
      <c r="H100" s="97" t="n"/>
      <c r="I100" s="97" t="n"/>
      <c r="J100" s="92" t="n"/>
      <c r="K100" s="97" t="n"/>
      <c r="L100" s="97" t="n"/>
      <c r="M100" s="92" t="n"/>
      <c r="N100" s="97" t="n"/>
      <c r="O100" s="97" t="n"/>
      <c r="P100" s="92" t="n"/>
      <c r="Q100" s="97" t="n"/>
      <c r="R100" s="97" t="n"/>
      <c r="S100" s="92" t="n"/>
      <c r="T100" s="97" t="n"/>
      <c r="U100" s="97" t="n"/>
      <c r="V100" s="92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</row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9">
    <mergeCell ref="B1:D1"/>
    <mergeCell ref="N1:P1"/>
    <mergeCell ref="Q1:S1"/>
    <mergeCell ref="AH1:AH2"/>
    <mergeCell ref="W1:W2"/>
    <mergeCell ref="Y1:Y2"/>
    <mergeCell ref="T1:V1"/>
    <mergeCell ref="AE1:AE2"/>
    <mergeCell ref="AF1:AF2"/>
    <mergeCell ref="X1:X2"/>
    <mergeCell ref="K1:M1"/>
    <mergeCell ref="Z1:Z2"/>
    <mergeCell ref="A1:A2"/>
    <mergeCell ref="AJ1:AJ2"/>
    <mergeCell ref="H1:J1"/>
    <mergeCell ref="AA1:AA2"/>
    <mergeCell ref="AG1:AG2"/>
    <mergeCell ref="E1:G1"/>
    <mergeCell ref="AI1:AI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H29:AF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84" min="1" max="32"/>
  </cols>
  <sheetData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>
      <c r="AF29" s="177" t="n"/>
    </row>
    <row r="30" ht="15.75" customHeight="1" s="85"/>
    <row r="31" ht="15.75" customHeight="1" s="85">
      <c r="AF31" s="177" t="n"/>
    </row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9" customHeight="1" s="85"/>
    <row r="41" ht="15.75" customHeight="1" s="85">
      <c r="H41" s="178" t="inlineStr">
        <is>
          <t>1ª sem</t>
        </is>
      </c>
      <c r="L41" s="179" t="inlineStr">
        <is>
          <t>2ª sem</t>
        </is>
      </c>
      <c r="Q41" s="180" t="inlineStr">
        <is>
          <t xml:space="preserve">   3ª sem</t>
        </is>
      </c>
      <c r="U41" s="180" t="inlineStr">
        <is>
          <t>4ª sem</t>
        </is>
      </c>
    </row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U41:W41"/>
    <mergeCell ref="H41:I41"/>
    <mergeCell ref="L41:N41"/>
    <mergeCell ref="Q41:S4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2060"/>
    <outlinePr summaryBelow="1" summaryRight="1"/>
    <pageSetUpPr fitToPage="0"/>
  </sheetPr>
  <dimension ref="A1:I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sheetData>
    <row r="1" ht="15" customHeight="1" s="85">
      <c r="A1" s="150" t="inlineStr">
        <is>
          <t>Semanas</t>
        </is>
      </c>
      <c r="B1" s="150" t="inlineStr">
        <is>
          <t>SEG</t>
        </is>
      </c>
      <c r="C1" s="150" t="inlineStr">
        <is>
          <t>TER</t>
        </is>
      </c>
      <c r="D1" s="150" t="inlineStr">
        <is>
          <t>QUA</t>
        </is>
      </c>
      <c r="E1" s="150" t="inlineStr">
        <is>
          <t>QUI</t>
        </is>
      </c>
      <c r="F1" s="150" t="inlineStr">
        <is>
          <t>SEX</t>
        </is>
      </c>
      <c r="G1" s="150" t="inlineStr">
        <is>
          <t>SÁB</t>
        </is>
      </c>
      <c r="H1" s="150" t="inlineStr">
        <is>
          <t>DOM</t>
        </is>
      </c>
      <c r="I1" s="150" t="inlineStr">
        <is>
          <t>TOTAL</t>
        </is>
      </c>
    </row>
    <row r="2" ht="15" customHeight="1" s="85">
      <c r="A2" s="151" t="n"/>
      <c r="B2" s="163" t="inlineStr">
        <is>
          <t>VTT</t>
        </is>
      </c>
      <c r="C2" s="163" t="inlineStr">
        <is>
          <t>VTT</t>
        </is>
      </c>
      <c r="D2" s="163" t="inlineStr">
        <is>
          <t>VTT</t>
        </is>
      </c>
      <c r="E2" s="163" t="inlineStr">
        <is>
          <t>VTT</t>
        </is>
      </c>
      <c r="F2" s="163" t="inlineStr">
        <is>
          <t>VTT</t>
        </is>
      </c>
      <c r="G2" s="163" t="inlineStr">
        <is>
          <t>VTT</t>
        </is>
      </c>
      <c r="H2" s="163" t="inlineStr">
        <is>
          <t>VTT</t>
        </is>
      </c>
      <c r="I2" s="163" t="inlineStr">
        <is>
          <t>VTT-S</t>
        </is>
      </c>
    </row>
    <row r="3" ht="31.5" customHeight="1" s="85">
      <c r="A3" s="148" t="inlineStr">
        <is>
          <t>1ª sem</t>
        </is>
      </c>
      <c r="B3" s="148">
        <f>'SEM 1'!AG4</f>
        <v/>
      </c>
      <c r="C3" s="148">
        <f>'SEM 1'!AG22</f>
        <v/>
      </c>
      <c r="D3" s="148">
        <f>'SEM 1'!AG40</f>
        <v/>
      </c>
      <c r="E3" s="148">
        <f>'SEM 1'!AG58</f>
        <v/>
      </c>
      <c r="F3" s="148">
        <f>'SEM 1'!AG76</f>
        <v/>
      </c>
      <c r="G3" s="148">
        <f>'SEM 1'!AG94</f>
        <v/>
      </c>
      <c r="H3" s="148">
        <f>'SEM 1'!AG112</f>
        <v/>
      </c>
      <c r="I3" s="148">
        <f>SUM(B3:H3)</f>
        <v/>
      </c>
    </row>
    <row r="4" ht="31.5" customHeight="1" s="85">
      <c r="A4" s="171" t="inlineStr">
        <is>
          <t>2ª sem</t>
        </is>
      </c>
      <c r="B4" s="171">
        <f>'SEM 2'!AG4</f>
        <v/>
      </c>
      <c r="C4" s="171">
        <f>'SEM 2'!AG22</f>
        <v/>
      </c>
      <c r="D4" s="171">
        <f>'SEM 2'!AG40</f>
        <v/>
      </c>
      <c r="E4" s="171">
        <f>'SEM 2'!AG58</f>
        <v/>
      </c>
      <c r="F4" s="171">
        <f>'SEM 2'!AG76</f>
        <v/>
      </c>
      <c r="G4" s="171">
        <f>'SEM 2'!AG94</f>
        <v/>
      </c>
      <c r="H4" s="171">
        <f>'SEM 2'!AG112</f>
        <v/>
      </c>
      <c r="I4" s="171">
        <f>SUM(B4:H4)</f>
        <v/>
      </c>
    </row>
    <row r="5" ht="31.5" customHeight="1" s="85">
      <c r="A5" s="148" t="inlineStr">
        <is>
          <t>3ª sem</t>
        </is>
      </c>
      <c r="B5" s="148">
        <f>'SEM 3'!AG4</f>
        <v/>
      </c>
      <c r="C5" s="148">
        <f>'SEM 3'!AG22</f>
        <v/>
      </c>
      <c r="D5" s="148">
        <f>'SEM 3'!AG40</f>
        <v/>
      </c>
      <c r="E5" s="148">
        <f>'SEM 3'!AG58</f>
        <v/>
      </c>
      <c r="F5" s="148">
        <f>'SEM 3'!AG76</f>
        <v/>
      </c>
      <c r="G5" s="148">
        <f>'SEM 3'!AG94</f>
        <v/>
      </c>
      <c r="H5" s="148">
        <f>'SEM 3'!AG112</f>
        <v/>
      </c>
      <c r="I5" s="148">
        <f>SUM(B5:H5)</f>
        <v/>
      </c>
    </row>
    <row r="6" ht="31.5" customHeight="1" s="85">
      <c r="A6" s="171" t="inlineStr">
        <is>
          <t>4ª sem</t>
        </is>
      </c>
      <c r="B6" s="171">
        <f>'SEM 4'!AG4</f>
        <v/>
      </c>
      <c r="C6" s="171">
        <f>'SEM 4'!AG22</f>
        <v/>
      </c>
      <c r="D6" s="171">
        <f>'SEM 4'!AG40</f>
        <v/>
      </c>
      <c r="E6" s="171">
        <f>'SEM 4'!AG58</f>
        <v/>
      </c>
      <c r="F6" s="171">
        <f>'SEM 4'!AG76</f>
        <v/>
      </c>
      <c r="G6" s="171">
        <f>'SEM 4'!AG94</f>
        <v/>
      </c>
      <c r="H6" s="171">
        <f>'SEM 4'!AG112</f>
        <v/>
      </c>
      <c r="I6" s="171">
        <f>SUM(B6:H6)</f>
        <v/>
      </c>
    </row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A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00B0F0"/>
    <outlinePr summaryBelow="1" summaryRight="1"/>
    <pageSetUpPr fitToPage="0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sheetData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84" min="1" max="6"/>
  </cols>
  <sheetData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emerson teixeira</dc:creator>
  <dc:language>en-US</dc:language>
  <dcterms:created xsi:type="dcterms:W3CDTF">2018-05-19T15:46:37Z</dcterms:created>
  <dcterms:modified xsi:type="dcterms:W3CDTF">2026-06-13T21:07:14Z</dcterms:modified>
  <cp:revision>5</cp:revision>
</cp:coreProperties>
</file>